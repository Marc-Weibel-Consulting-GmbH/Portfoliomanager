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scheidungsübersicht" sheetId="1" state="visible" r:id="rId1"/>
    <sheet xmlns:r="http://schemas.openxmlformats.org/officeDocument/2006/relationships" name="Zielgewichte" sheetId="2" state="visible" r:id="rId2"/>
    <sheet xmlns:r="http://schemas.openxmlformats.org/officeDocument/2006/relationships" name="Sharpe Herleitung" sheetId="3" state="visible" r:id="rId3"/>
    <sheet xmlns:r="http://schemas.openxmlformats.org/officeDocument/2006/relationships" name="Methodik &amp; Grenzen" sheetId="4" state="visible" r:id="rId4"/>
  </sheets>
  <definedNames>
    <definedName name="_xlnm._FilterDatabase" localSheetId="1" hidden="1">'Zielgewichte'!$B$10:$Q$47</definedName>
    <definedName name="_xlnm._FilterDatabase" localSheetId="2" hidden="1">'Sharpe Herleitung'!$B$15:$H$1307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0.00x;[Red]-0.00x"/>
    <numFmt numFmtId="165" formatCode="0.00%;[Red]-0.00%"/>
    <numFmt numFmtId="166" formatCode="CHF #,##0.00"/>
    <numFmt numFmtId="167" formatCode="0.00%;[Red]-0.00%;—"/>
    <numFmt numFmtId="168" formatCode="CHF #,##0;[Red]-CHF #,##0;—"/>
    <numFmt numFmtId="169" formatCode="0.000"/>
    <numFmt numFmtId="170" formatCode="0.0000%"/>
    <numFmt numFmtId="171" formatCode="CHF #,##0.00;[Red]-CHF #,##0.00;—"/>
    <numFmt numFmtId="172" formatCode="0.0000%;[Red]-0.0000%;—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4748B"/>
      <sz val="10"/>
    </font>
    <font>
      <name val="Aptos"/>
      <b val="1"/>
      <color rgb="00172033"/>
      <sz val="11"/>
    </font>
    <font>
      <name val="Aptos"/>
      <b val="1"/>
      <color rgb="000B192D"/>
      <sz val="10"/>
    </font>
    <font>
      <name val="Aptos"/>
      <color rgb="00172033"/>
      <sz val="10"/>
    </font>
    <font>
      <name val="Aptos"/>
      <b val="1"/>
      <color rgb="00FFFFFF"/>
      <sz val="10"/>
    </font>
    <font>
      <name val="Aptos"/>
      <color rgb="0064748B"/>
      <sz val="9"/>
    </font>
    <font>
      <name val="Aptos"/>
      <color rgb="000000FF"/>
      <sz val="10"/>
    </font>
    <font>
      <name val="Aptos"/>
      <color rgb="000B192D"/>
      <sz val="10"/>
    </font>
  </fonts>
  <fills count="8">
    <fill>
      <patternFill/>
    </fill>
    <fill>
      <patternFill patternType="gray125"/>
    </fill>
    <fill>
      <patternFill patternType="solid">
        <fgColor rgb="000B192D"/>
      </patternFill>
    </fill>
    <fill>
      <patternFill patternType="solid">
        <fgColor rgb="00CFE9E0"/>
      </patternFill>
    </fill>
    <fill>
      <patternFill patternType="solid">
        <fgColor rgb="001D2A3A"/>
      </patternFill>
    </fill>
    <fill>
      <patternFill patternType="solid">
        <fgColor rgb="00F5F8FA"/>
      </patternFill>
    </fill>
    <fill>
      <patternFill patternType="solid">
        <fgColor rgb="00FFF7E6"/>
      </patternFill>
    </fill>
    <fill>
      <patternFill patternType="solid">
        <fgColor rgb="00E6F7F4"/>
      </patternFill>
    </fill>
  </fills>
  <borders count="2">
    <border>
      <left/>
      <right/>
      <top/>
      <bottom/>
      <diagonal/>
    </border>
    <border>
      <left style="thin">
        <color rgb="00DCE3EA"/>
      </left>
      <right style="thin">
        <color rgb="00DCE3EA"/>
      </right>
      <top style="thin">
        <color rgb="00DCE3EA"/>
      </top>
      <bottom style="thin">
        <color rgb="00DCE3E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right" vertical="center" wrapText="1"/>
    </xf>
    <xf numFmtId="0" fontId="5" fillId="5" borderId="0" applyAlignment="1" pivotButton="0" quotePrefix="0" xfId="0">
      <alignment vertical="top" wrapText="1"/>
    </xf>
    <xf numFmtId="0" fontId="1" fillId="2" borderId="0" pivotButton="0" quotePrefix="0" xfId="0"/>
    <xf numFmtId="166" fontId="5" fillId="0" borderId="0" pivotButton="0" quotePrefix="0" xfId="0"/>
    <xf numFmtId="10" fontId="8" fillId="0" borderId="0" pivotButton="0" quotePrefix="0" xfId="0"/>
    <xf numFmtId="0" fontId="6" fillId="4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vertical="center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0" fontId="8" fillId="7" borderId="0" pivotButton="0" quotePrefix="0" xfId="0"/>
    <xf numFmtId="3" fontId="8" fillId="7" borderId="0" pivotButton="0" quotePrefix="0" xfId="0"/>
    <xf numFmtId="0" fontId="8" fillId="7" borderId="0" pivotButton="0" quotePrefix="0" xfId="0"/>
    <xf numFmtId="0" fontId="9" fillId="0" borderId="0" pivotButton="0" quotePrefix="0" xfId="0"/>
    <xf numFmtId="170" fontId="8" fillId="0" borderId="1" applyAlignment="1" pivotButton="0" quotePrefix="0" xfId="0">
      <alignment horizontal="right" wrapText="1"/>
    </xf>
    <xf numFmtId="0" fontId="7" fillId="0" borderId="1" applyAlignment="1" pivotButton="0" quotePrefix="0" xfId="0">
      <alignment horizontal="left" wrapText="1"/>
    </xf>
    <xf numFmtId="164" fontId="8" fillId="0" borderId="1" applyAlignment="1" pivotButton="0" quotePrefix="0" xfId="0">
      <alignment horizontal="right" wrapText="1"/>
    </xf>
    <xf numFmtId="0" fontId="8" fillId="0" borderId="1" pivotButton="0" quotePrefix="0" xfId="0"/>
    <xf numFmtId="171" fontId="8" fillId="0" borderId="1" pivotButton="0" quotePrefix="0" xfId="0"/>
    <xf numFmtId="172" fontId="5" fillId="0" borderId="1" pivotButton="0" quotePrefix="0" xfId="0"/>
    <xf numFmtId="0" fontId="4" fillId="5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6F7F4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5J-Risikoproxy: Ist vs. Vorschlag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'Entscheidungsübersicht'!$B$16:$B$18</f>
            </numRef>
          </cat>
          <val>
            <numRef>
              <f>'Entscheidungsübersicht'!$C$16:$C$18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'Entscheidungsübersicht'!$B$16:$B$18</f>
            </numRef>
          </cat>
          <val>
            <numRef>
              <f>'Entscheidungsübersicht'!$D$16:$D$18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Kennzahl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Portfolio Manager</author>
  </authors>
  <commentList>
    <comment ref="C5" authorId="0" shapeId="0">
      <text>
        <t>Prüfbare Modellannahme bzw. Quelle der Berechnung. Keine Schätzung oder nachträgliche Datenkorrektur.</t>
      </text>
    </comment>
    <comment ref="C6" authorId="0" shapeId="0">
      <text>
        <t>Prüfbare Modellannahme bzw. Quelle der Berechnung. Keine Schätzung oder nachträgliche Datenkorrektur.</t>
      </text>
    </comment>
    <comment ref="C7" authorId="0" shapeId="0">
      <text>
        <t>Prüfbare Modellannahme bzw. Quelle der Berechnung. Keine Schätzung oder nachträgliche Datenkorrektur.</t>
      </text>
    </comment>
    <comment ref="C8" authorId="0" shapeId="0">
      <text>
        <t>Prüfbare Modellannahme bzw. Quelle der Berechnung. Keine Schätzung oder nachträgliche Datenkorrektur.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24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7" customWidth="1" min="3" max="3"/>
    <col width="17" customWidth="1" min="4" max="4"/>
    <col width="17" customWidth="1" min="5" max="5"/>
    <col width="42" customWidth="1" min="6" max="6"/>
  </cols>
  <sheetData>
    <row r="2" ht="30" customHeight="1">
      <c r="B2" s="1" t="inlineStr">
        <is>
          <t>Mami · einmaliger Optimierungsvorschlag</t>
        </is>
      </c>
    </row>
    <row r="3" ht="28" customHeight="1">
      <c r="B3" s="2" t="inlineStr">
        <is>
          <t>Rein lesende Entscheidungsvorlage · nicht gespeichert, keine Order oder Buchung ausgelöst · Stand 26.09.2026</t>
        </is>
      </c>
    </row>
    <row r="5">
      <c r="B5" s="3" t="inlineStr">
        <is>
          <t>EMPFOHLENE VARIANTE</t>
        </is>
      </c>
    </row>
    <row r="6" ht="34" customHeight="1">
      <c r="B6" s="4" t="inlineStr">
        <is>
          <t>Methode</t>
        </is>
      </c>
      <c r="C6" s="5" t="inlineStr">
        <is>
          <t>50%-Mischung aus Ist-Allokation und Max.-Sharpe-Vorschau; Cash, Gold und Krypto unverändert.</t>
        </is>
      </c>
    </row>
    <row r="7" ht="34" customHeight="1">
      <c r="B7" s="4" t="inlineStr">
        <is>
          <t>Datenqualität</t>
        </is>
      </c>
      <c r="C7" s="5" t="inlineStr">
        <is>
          <t>Keine neuen oder aufgestockten Titel mit Datenlücke; die ursprünglich vorgeschlagenen 6856.T, 8015.T und eine DBS-Aufstockung wurden ausgeschlossen.</t>
        </is>
      </c>
    </row>
    <row r="8" ht="34" customHeight="1">
      <c r="B8" s="4" t="inlineStr">
        <is>
          <t>Ziel</t>
        </is>
      </c>
      <c r="C8" s="5" t="inlineStr">
        <is>
          <t>KGV, PEG und 5J-Risikoqualität verbessern, ohne Dividendenertrag oder Beta übermässig zu belasten.</t>
        </is>
      </c>
    </row>
    <row r="10">
      <c r="B10" s="3" t="inlineStr">
        <is>
          <t>VERGLEICH · GLEICHE GESPEICHERTE EODHD-BASIS</t>
        </is>
      </c>
    </row>
    <row r="11">
      <c r="B11" s="6" t="inlineStr">
        <is>
          <t>Kennzahl</t>
        </is>
      </c>
      <c r="C11" s="6" t="inlineStr">
        <is>
          <t>Ist</t>
        </is>
      </c>
      <c r="D11" s="6" t="inlineStr">
        <is>
          <t>Vorschlag</t>
        </is>
      </c>
      <c r="E11" s="6" t="inlineStr">
        <is>
          <t>Δ</t>
        </is>
      </c>
      <c r="F11" s="6" t="inlineStr">
        <is>
          <t>Interpretation / Abdeckung</t>
        </is>
      </c>
    </row>
    <row r="12" ht="32" customHeight="1">
      <c r="B12" s="7" t="inlineStr">
        <is>
          <t>KGV (gewichteter Proxy)</t>
        </is>
      </c>
      <c r="C12" s="8" t="n">
        <v>25.53356815349274</v>
      </c>
      <c r="D12" s="8" t="n">
        <v>23.39177148703065</v>
      </c>
      <c r="E12" s="8" t="n">
        <v>-2.141796666462088</v>
      </c>
      <c r="F12" s="9" t="inlineStr">
        <is>
          <t>gewichtete verfügbare Datenabdeckung: Ist 93.5%, Vorschlag 93.4%</t>
        </is>
      </c>
    </row>
    <row r="13" ht="32" customHeight="1">
      <c r="B13" s="7" t="inlineStr">
        <is>
          <t>PEG (gewichteter Proxy)</t>
        </is>
      </c>
      <c r="C13" s="8" t="n">
        <v>2.579054771630096</v>
      </c>
      <c r="D13" s="8" t="n">
        <v>2.330587012755162</v>
      </c>
      <c r="E13" s="8" t="n">
        <v>-0.2484677588749338</v>
      </c>
      <c r="F13" s="9" t="inlineStr">
        <is>
          <t>partielle Datenabdeckung: Ist 60.8%, Vorschlag 59.1% – keine Imputation fehlender PEG-Werte</t>
        </is>
      </c>
    </row>
    <row r="14" ht="32" customHeight="1">
      <c r="B14" s="7" t="inlineStr">
        <is>
          <t>Dividendenrendite</t>
        </is>
      </c>
      <c r="C14" s="10" t="n">
        <v>3.52920815476834</v>
      </c>
      <c r="D14" s="10" t="n">
        <v>3.338628906489495</v>
      </c>
      <c r="E14" s="10" t="n">
        <v>-0.1905792482788442</v>
      </c>
      <c r="F14" s="9" t="inlineStr">
        <is>
          <t>gewichtete verfügbare Datenabdeckung: Ist 91.2%, Vorschlag 89.5%</t>
        </is>
      </c>
    </row>
    <row r="15" ht="32" customHeight="1">
      <c r="B15" s="7" t="inlineStr">
        <is>
          <t>Beta (gewichteter Proxy)</t>
        </is>
      </c>
      <c r="C15" s="8" t="n">
        <v>0.7200616258665661</v>
      </c>
      <c r="D15" s="8" t="n">
        <v>0.7217133660063983</v>
      </c>
      <c r="E15" s="8" t="n">
        <v>0.00165174013983227</v>
      </c>
      <c r="F15" s="9" t="inlineStr">
        <is>
          <t>gewichtete verfügbare Datenabdeckung: Ist 96.1%, Vorschlag 96.1%</t>
        </is>
      </c>
    </row>
    <row r="16" ht="32" customHeight="1">
      <c r="B16" s="7" t="inlineStr">
        <is>
          <t>5J-Volatilität</t>
        </is>
      </c>
      <c r="C16" s="10" t="n">
        <v>10.60641434735046</v>
      </c>
      <c r="D16" s="10" t="n">
        <v>7.783152508878437</v>
      </c>
      <c r="E16" s="10" t="n">
        <v>-2.823261838472022</v>
      </c>
      <c r="F16" s="9" t="inlineStr">
        <is>
          <t>5J historischer Allokationsproxy · 1’292 qualifizierte Beobachtungen</t>
        </is>
      </c>
    </row>
    <row r="17" ht="32" customHeight="1">
      <c r="B17" s="7" t="inlineStr">
        <is>
          <t>5J-Sharpe Ratio</t>
        </is>
      </c>
      <c r="C17" s="11" t="n">
        <v>-0.1325102025355165</v>
      </c>
      <c r="D17" s="11" t="n">
        <v>0.1146811183022186</v>
      </c>
      <c r="E17" s="11" t="n">
        <v>0.2471913208377351</v>
      </c>
      <c r="F17" s="9" t="inlineStr">
        <is>
          <t>2.0% risikofreier Jahreszins · 252 Handelstage · vollständige Formel auf Blatt «Sharpe Herleitung»</t>
        </is>
      </c>
    </row>
    <row r="18" ht="32" customHeight="1">
      <c r="B18" s="7" t="inlineStr">
        <is>
          <t>Max. Drawdown (5J)</t>
        </is>
      </c>
      <c r="C18" s="12" t="n">
        <v>-25.11175398507432</v>
      </c>
      <c r="D18" s="12" t="n">
        <v>-18.71693376140743</v>
      </c>
      <c r="E18" s="12" t="n">
        <v>6.394820223666891</v>
      </c>
      <c r="F18" s="9" t="inlineStr">
        <is>
          <t>historischer Allokationsproxy, keine tatsächliche Depot-Historie vor 08.09.2026</t>
        </is>
      </c>
    </row>
    <row r="20">
      <c r="B20" s="3" t="inlineStr">
        <is>
          <t>WICHTIGE EINORDNUNG</t>
        </is>
      </c>
    </row>
    <row r="21" ht="48" customHeight="1">
      <c r="B21" s="13" t="inlineStr">
        <is>
          <t>• Der Sharpe-Vergleich ist die belastbarste Ergebniskennzahl dieses Vorschlags: Er wird auf exakt denselben 1’292 qualifizierten Tagesbeobachtungen berechnet. Die Variante hebt den 5J-Allokationsproxy von −0.13 auf +0.11 und senkt den beobachteten Max.-Drawdown von −25.11% auf −18.72%.</t>
        </is>
      </c>
    </row>
    <row r="22" ht="48" customHeight="1">
      <c r="B22" s="13" t="inlineStr">
        <is>
          <t>• Die Deep-Dive-Karten der Webseite zeigen aktuell KGV 27.6 und PEG 2.61 nach ihrer eigenen Gesamtportfolio-/ETF-Logik. Die hier dargestellten KGV-/PEG-Proxies verwenden bewusst dieselbe verfügbare Aktien-Stammdatenbasis für Ist und Vorschlag (25.53 bzw. 2.58), damit die Veränderung vergleichbar bleibt. Die beiden Definitionen sind nicht direkt austauschbar.</t>
        </is>
      </c>
    </row>
    <row r="23" ht="48" customHeight="1">
      <c r="B23" s="13" t="inlineStr">
        <is>
          <t>• KGV, PEG, Dividendenrendite und Beta sind gewichtete, auf vorhandenen EODHD-Stammdaten beruhende Querschnittsproxies. PEG ist nur für rund 60% des Aktienanteils verfügbar; fehlende Werte wurden nicht durch Nullen oder Schätzungen ersetzt.</t>
        </is>
      </c>
    </row>
    <row r="24" ht="48" customHeight="1">
      <c r="B24" s="13" t="inlineStr">
        <is>
          <t>• Die Zielgewichte auf Blatt «Zielgewichte» beziehen sich auf den gesamten Depotwert. Cash und die festen Gold-/Krypto-Sleeves bleiben unverändert. Die Mappe ist keine Ausführungsanweisung; jede Umsetzung bleibt bestätigungspflichtig und muss vor Ausführung mit aktuellen Kursen, FX und Datenqualität geprüft werden.</t>
        </is>
      </c>
    </row>
  </sheetData>
  <mergeCells count="12">
    <mergeCell ref="B21:F21"/>
    <mergeCell ref="B24:F24"/>
    <mergeCell ref="B2:F2"/>
    <mergeCell ref="C8:F8"/>
    <mergeCell ref="B20:F20"/>
    <mergeCell ref="B10:F10"/>
    <mergeCell ref="B3:F3"/>
    <mergeCell ref="B5:F5"/>
    <mergeCell ref="C6:F6"/>
    <mergeCell ref="C7:F7"/>
    <mergeCell ref="B23:F23"/>
    <mergeCell ref="B22:F22"/>
  </mergeCells>
  <conditionalFormatting sqref="E12:E1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Q4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1" customWidth="1" min="3" max="3"/>
    <col width="18" customWidth="1" min="4" max="4"/>
    <col width="11" customWidth="1" min="5" max="5"/>
    <col width="14" customWidth="1" min="6" max="6"/>
    <col width="14" customWidth="1" min="7" max="7"/>
    <col width="13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4" customWidth="1" min="14" max="14"/>
    <col width="12" customWidth="1" min="15" max="15"/>
    <col width="14" customWidth="1" min="16" max="16"/>
    <col width="16" customWidth="1" min="17" max="17"/>
  </cols>
  <sheetData>
    <row r="2" ht="30" customHeight="1">
      <c r="B2" s="14" t="inlineStr">
        <is>
          <t>Mami · Zielgewichte der einmaligen, nicht ausgeführten Variante</t>
        </is>
      </c>
    </row>
    <row r="3" ht="30" customHeight="1">
      <c r="B3" s="2" t="inlineStr">
        <is>
          <t>Gesamtes Depot: CHF 508’713.24 · Cash CHF 166’109.81 sowie Gold/Krypto unverändert · Werte und Stückzahlen erst bei einer späteren bestätigten Umsetzung mit aktuellen Kursen und FX neu bestimmen.</t>
        </is>
      </c>
    </row>
    <row r="5">
      <c r="B5" s="4" t="inlineStr">
        <is>
          <t>Kapitalbasis (CHF)</t>
        </is>
      </c>
      <c r="C5" s="15" t="n">
        <v>508713.24</v>
      </c>
    </row>
    <row r="6">
      <c r="B6" s="4" t="inlineStr">
        <is>
          <t>Aktienanteil Ist</t>
        </is>
      </c>
      <c r="C6" s="16" t="n">
        <v>67.34706799999999</v>
      </c>
    </row>
    <row r="7">
      <c r="B7" s="4" t="inlineStr">
        <is>
          <t>Aktienanteil Ziel</t>
        </is>
      </c>
      <c r="C7" s="16" t="n">
        <v>66.77803800000002</v>
      </c>
    </row>
    <row r="10">
      <c r="B10" s="17" t="inlineStr">
        <is>
          <t>Ticker</t>
        </is>
      </c>
      <c r="C10" s="17" t="inlineStr">
        <is>
          <t>Unternehmen</t>
        </is>
      </c>
      <c r="D10" s="17" t="inlineStr">
        <is>
          <t>Sektor</t>
        </is>
      </c>
      <c r="E10" s="17" t="inlineStr">
        <is>
          <t>Währung</t>
        </is>
      </c>
      <c r="F10" s="17" t="inlineStr">
        <is>
          <t>Ist-Gewicht</t>
        </is>
      </c>
      <c r="G10" s="17" t="inlineStr">
        <is>
          <t>Zielgewicht</t>
        </is>
      </c>
      <c r="H10" s="17" t="inlineStr">
        <is>
          <t>Δ p.p.</t>
        </is>
      </c>
      <c r="I10" s="17" t="inlineStr">
        <is>
          <t>Ist-Wert CHF</t>
        </is>
      </c>
      <c r="J10" s="17" t="inlineStr">
        <is>
          <t>Ziel-Wert CHF</t>
        </is>
      </c>
      <c r="K10" s="17" t="inlineStr">
        <is>
          <t>Δ Wert CHF</t>
        </is>
      </c>
      <c r="L10" s="17" t="inlineStr">
        <is>
          <t>KGV</t>
        </is>
      </c>
      <c r="M10" s="17" t="inlineStr">
        <is>
          <t>PEG</t>
        </is>
      </c>
      <c r="N10" s="17" t="inlineStr">
        <is>
          <t>Div.-Rendite</t>
        </is>
      </c>
      <c r="O10" s="17" t="inlineStr">
        <is>
          <t>Beta</t>
        </is>
      </c>
      <c r="P10" s="17" t="inlineStr">
        <is>
          <t>gesp. Sharpe</t>
        </is>
      </c>
      <c r="Q10" s="17" t="inlineStr">
        <is>
          <t>Datenstatus</t>
        </is>
      </c>
    </row>
    <row r="11">
      <c r="B11" s="18" t="inlineStr">
        <is>
          <t>SON.LS</t>
        </is>
      </c>
      <c r="C11" s="18" t="inlineStr">
        <is>
          <t>Sonae SGPS</t>
        </is>
      </c>
      <c r="D11" s="18" t="inlineStr">
        <is>
          <t>Consumer Defensive</t>
        </is>
      </c>
      <c r="E11" s="18" t="inlineStr">
        <is>
          <t>EUR</t>
        </is>
      </c>
      <c r="F11" s="19" t="n">
        <v>0</v>
      </c>
      <c r="G11" s="19" t="n">
        <v>0.0135502976125507</v>
      </c>
      <c r="H11" s="19" t="n">
        <v>0.0135502976125507</v>
      </c>
      <c r="I11" s="20" t="n">
        <v>0</v>
      </c>
      <c r="J11" s="21">
        <f>G11*$C$5</f>
        <v/>
      </c>
      <c r="K11" s="21">
        <f>J11-I11</f>
        <v/>
      </c>
      <c r="L11" s="22" t="inlineStr">
        <is>
          <t>19.0909</t>
        </is>
      </c>
      <c r="M11" s="22" t="inlineStr">
        <is>
          <t>0.1502</t>
        </is>
      </c>
      <c r="N11" s="23" t="inlineStr">
        <is>
          <t>2.9700</t>
        </is>
      </c>
      <c r="O11" s="24" t="inlineStr">
        <is>
          <t>0.533</t>
        </is>
      </c>
      <c r="P11" s="25" t="inlineStr">
        <is>
          <t>2.2727169943868013</t>
        </is>
      </c>
      <c r="Q11" s="18" t="inlineStr">
        <is>
          <t>OK</t>
        </is>
      </c>
    </row>
    <row r="12">
      <c r="B12" s="18" t="inlineStr">
        <is>
          <t>XTB.WA</t>
        </is>
      </c>
      <c r="C12" s="18" t="inlineStr">
        <is>
          <t>XTB S.A.           ZY-,05</t>
        </is>
      </c>
      <c r="D12" s="18" t="inlineStr">
        <is>
          <t>Financial Services</t>
        </is>
      </c>
      <c r="E12" s="18" t="inlineStr">
        <is>
          <t>PLN</t>
        </is>
      </c>
      <c r="F12" s="19" t="n">
        <v>0</v>
      </c>
      <c r="G12" s="19" t="n">
        <v>0.01350505454873584</v>
      </c>
      <c r="H12" s="19" t="n">
        <v>0.01350505454873584</v>
      </c>
      <c r="I12" s="20" t="n">
        <v>0</v>
      </c>
      <c r="J12" s="21">
        <f>G12*$C$5</f>
        <v/>
      </c>
      <c r="K12" s="21">
        <f>J12-I12</f>
        <v/>
      </c>
      <c r="L12" s="22" t="inlineStr">
        <is>
          <t>14.3486</t>
        </is>
      </c>
      <c r="M12" s="22" t="inlineStr">
        <is>
          <t>0.96</t>
        </is>
      </c>
      <c r="N12" s="23" t="inlineStr">
        <is>
          <t>2.6600</t>
        </is>
      </c>
      <c r="O12" s="24" t="inlineStr">
        <is>
          <t>-0.001</t>
        </is>
      </c>
      <c r="P12" s="25" t="inlineStr">
        <is>
          <t>2.2687548172594085</t>
        </is>
      </c>
      <c r="Q12" s="18" t="inlineStr">
        <is>
          <t>OK</t>
        </is>
      </c>
    </row>
    <row r="13">
      <c r="B13" s="18" t="inlineStr">
        <is>
          <t>VONN.SW</t>
        </is>
      </c>
      <c r="C13" s="18" t="inlineStr">
        <is>
          <t>Vontobel Holding</t>
        </is>
      </c>
      <c r="D13" s="18" t="inlineStr">
        <is>
          <t>Financial Services</t>
        </is>
      </c>
      <c r="E13" s="18" t="inlineStr">
        <is>
          <t>CHF</t>
        </is>
      </c>
      <c r="F13" s="19" t="n">
        <v>0</v>
      </c>
      <c r="G13" s="19" t="n">
        <v>0.01345981148492098</v>
      </c>
      <c r="H13" s="19" t="n">
        <v>0.01345981148492098</v>
      </c>
      <c r="I13" s="20" t="n">
        <v>0</v>
      </c>
      <c r="J13" s="21">
        <f>G13*$C$5</f>
        <v/>
      </c>
      <c r="K13" s="21">
        <f>J13-I13</f>
        <v/>
      </c>
      <c r="L13" s="22" t="inlineStr">
        <is>
          <t>13.6637</t>
        </is>
      </c>
      <c r="M13" s="22" t="inlineStr">
        <is>
          <t>3.7057</t>
        </is>
      </c>
      <c r="N13" s="23" t="inlineStr">
        <is>
          <t>3.3100</t>
        </is>
      </c>
      <c r="O13" s="24" t="inlineStr">
        <is>
          <t>0.619</t>
        </is>
      </c>
      <c r="P13" s="25" t="inlineStr">
        <is>
          <t>2.374997067830059</t>
        </is>
      </c>
      <c r="Q13" s="18" t="inlineStr">
        <is>
          <t>OK</t>
        </is>
      </c>
    </row>
    <row r="14">
      <c r="B14" s="18" t="inlineStr">
        <is>
          <t>TNZ.TO</t>
        </is>
      </c>
      <c r="C14" s="18" t="inlineStr">
        <is>
          <t>Tenaz Energy Corp.</t>
        </is>
      </c>
      <c r="D14" s="18" t="inlineStr">
        <is>
          <t>Energy</t>
        </is>
      </c>
      <c r="E14" s="18" t="inlineStr">
        <is>
          <t>CAD</t>
        </is>
      </c>
      <c r="F14" s="19" t="n">
        <v>0</v>
      </c>
      <c r="G14" s="19" t="n">
        <v>0.01330146076156897</v>
      </c>
      <c r="H14" s="19" t="n">
        <v>0.01330146076156897</v>
      </c>
      <c r="I14" s="20" t="n">
        <v>0</v>
      </c>
      <c r="J14" s="21">
        <f>G14*$C$5</f>
        <v/>
      </c>
      <c r="K14" s="21">
        <f>J14-I14</f>
        <v/>
      </c>
      <c r="L14" s="22" t="inlineStr">
        <is>
          <t>18.1524</t>
        </is>
      </c>
      <c r="M14" s="22" t="inlineStr">
        <is>
          <t>1.21</t>
        </is>
      </c>
      <c r="N14" s="23" t="n"/>
      <c r="O14" s="24" t="inlineStr">
        <is>
          <t>0.851</t>
        </is>
      </c>
      <c r="P14" s="25" t="inlineStr">
        <is>
          <t>2.1843076689223375</t>
        </is>
      </c>
      <c r="Q14" s="18" t="inlineStr">
        <is>
          <t>OK</t>
        </is>
      </c>
    </row>
    <row r="15">
      <c r="B15" s="18" t="inlineStr">
        <is>
          <t>MOH.AT</t>
        </is>
      </c>
      <c r="C15" s="18" t="inlineStr">
        <is>
          <t>Motor Oil (Hellas) Corinth Refineries S.A</t>
        </is>
      </c>
      <c r="D15" s="18" t="inlineStr">
        <is>
          <t>Energy</t>
        </is>
      </c>
      <c r="E15" s="18" t="inlineStr">
        <is>
          <t>EUR</t>
        </is>
      </c>
      <c r="F15" s="19" t="n">
        <v>0</v>
      </c>
      <c r="G15" s="19" t="n">
        <v>0.01327883922966154</v>
      </c>
      <c r="H15" s="19" t="n">
        <v>0.01327883922966154</v>
      </c>
      <c r="I15" s="20" t="n">
        <v>0</v>
      </c>
      <c r="J15" s="21">
        <f>G15*$C$5</f>
        <v/>
      </c>
      <c r="K15" s="21">
        <f>J15-I15</f>
        <v/>
      </c>
      <c r="L15" s="22" t="inlineStr">
        <is>
          <t>6.1132</t>
        </is>
      </c>
      <c r="M15" s="22" t="inlineStr">
        <is>
          <t>3.8971</t>
        </is>
      </c>
      <c r="N15" s="23" t="inlineStr">
        <is>
          <t>4.2300</t>
        </is>
      </c>
      <c r="O15" s="24" t="inlineStr">
        <is>
          <t>0.238</t>
        </is>
      </c>
      <c r="P15" s="25" t="inlineStr">
        <is>
          <t>3.0057738992859693</t>
        </is>
      </c>
      <c r="Q15" s="18" t="inlineStr">
        <is>
          <t>OK</t>
        </is>
      </c>
    </row>
    <row r="16">
      <c r="B16" s="18" t="inlineStr">
        <is>
          <t>EXE.TO</t>
        </is>
      </c>
      <c r="C16" s="18" t="inlineStr">
        <is>
          <t>Extendicare Inc</t>
        </is>
      </c>
      <c r="D16" s="18" t="inlineStr">
        <is>
          <t>Healthcare</t>
        </is>
      </c>
      <c r="E16" s="18" t="inlineStr">
        <is>
          <t>CAD</t>
        </is>
      </c>
      <c r="F16" s="19" t="n">
        <v>0</v>
      </c>
      <c r="G16" s="19" t="n">
        <v>0.01321097463393925</v>
      </c>
      <c r="H16" s="19" t="n">
        <v>0.01321097463393925</v>
      </c>
      <c r="I16" s="20" t="n">
        <v>0</v>
      </c>
      <c r="J16" s="21">
        <f>G16*$C$5</f>
        <v/>
      </c>
      <c r="K16" s="21">
        <f>J16-I16</f>
        <v/>
      </c>
      <c r="L16" s="22" t="inlineStr">
        <is>
          <t>24.2231</t>
        </is>
      </c>
      <c r="M16" s="22" t="inlineStr">
        <is>
          <t>0</t>
        </is>
      </c>
      <c r="N16" s="23" t="inlineStr">
        <is>
          <t>1.6100</t>
        </is>
      </c>
      <c r="O16" s="24" t="inlineStr">
        <is>
          <t>1.107</t>
        </is>
      </c>
      <c r="P16" s="25" t="inlineStr">
        <is>
          <t>2.3527606513234147</t>
        </is>
      </c>
      <c r="Q16" s="18" t="inlineStr">
        <is>
          <t>OK</t>
        </is>
      </c>
    </row>
    <row r="17">
      <c r="B17" s="18" t="inlineStr">
        <is>
          <t>KREATE.HE</t>
        </is>
      </c>
      <c r="C17" s="18" t="inlineStr">
        <is>
          <t>KREATE GROUP OYJ</t>
        </is>
      </c>
      <c r="D17" s="18" t="inlineStr">
        <is>
          <t>Industrials</t>
        </is>
      </c>
      <c r="E17" s="18" t="inlineStr">
        <is>
          <t>EUR</t>
        </is>
      </c>
      <c r="F17" s="19" t="n">
        <v>0</v>
      </c>
      <c r="G17" s="19" t="n">
        <v>0.01316573157012439</v>
      </c>
      <c r="H17" s="19" t="n">
        <v>0.01316573157012439</v>
      </c>
      <c r="I17" s="20" t="n">
        <v>0</v>
      </c>
      <c r="J17" s="21">
        <f>G17*$C$5</f>
        <v/>
      </c>
      <c r="K17" s="21">
        <f>J17-I17</f>
        <v/>
      </c>
      <c r="L17" s="22" t="inlineStr">
        <is>
          <t>28.6923</t>
        </is>
      </c>
      <c r="M17" s="22" t="inlineStr">
        <is>
          <t>1.91</t>
        </is>
      </c>
      <c r="N17" s="23" t="inlineStr">
        <is>
          <t>1.6200</t>
        </is>
      </c>
      <c r="O17" s="24" t="inlineStr">
        <is>
          <t>0.902</t>
        </is>
      </c>
      <c r="P17" s="25" t="inlineStr">
        <is>
          <t>3.280455280479184</t>
        </is>
      </c>
      <c r="Q17" s="18" t="inlineStr">
        <is>
          <t>OK</t>
        </is>
      </c>
    </row>
    <row r="18">
      <c r="B18" s="18" t="inlineStr">
        <is>
          <t>GPW.WA</t>
        </is>
      </c>
      <c r="C18" s="18" t="inlineStr">
        <is>
          <t>Warsaw Stock Exchange</t>
        </is>
      </c>
      <c r="D18" s="18" t="inlineStr">
        <is>
          <t>Financial Services</t>
        </is>
      </c>
      <c r="E18" s="18" t="inlineStr">
        <is>
          <t>PLN</t>
        </is>
      </c>
      <c r="F18" s="19" t="n">
        <v>0</v>
      </c>
      <c r="G18" s="19" t="n">
        <v>0.01300738084677237</v>
      </c>
      <c r="H18" s="19" t="n">
        <v>0.01300738084677237</v>
      </c>
      <c r="I18" s="20" t="n">
        <v>0</v>
      </c>
      <c r="J18" s="21">
        <f>G18*$C$5</f>
        <v/>
      </c>
      <c r="K18" s="21">
        <f>J18-I18</f>
        <v/>
      </c>
      <c r="L18" s="22" t="inlineStr">
        <is>
          <t>19.2593</t>
        </is>
      </c>
      <c r="M18" s="22" t="inlineStr">
        <is>
          <t>3.9373</t>
        </is>
      </c>
      <c r="N18" s="23" t="inlineStr">
        <is>
          <t>3.4300</t>
        </is>
      </c>
      <c r="O18" s="24" t="inlineStr">
        <is>
          <t>0.481</t>
        </is>
      </c>
      <c r="P18" s="25" t="inlineStr">
        <is>
          <t>2.0556392379639274</t>
        </is>
      </c>
      <c r="Q18" s="18" t="inlineStr">
        <is>
          <t>OK</t>
        </is>
      </c>
    </row>
    <row r="19">
      <c r="B19" s="18" t="inlineStr">
        <is>
          <t>WTE.TO</t>
        </is>
      </c>
      <c r="C19" s="18" t="inlineStr">
        <is>
          <t>Westshore Terminals Investment Corp</t>
        </is>
      </c>
      <c r="D19" s="18" t="inlineStr">
        <is>
          <t>Industrials</t>
        </is>
      </c>
      <c r="E19" s="18" t="inlineStr">
        <is>
          <t>CAD</t>
        </is>
      </c>
      <c r="F19" s="19" t="n">
        <v>0</v>
      </c>
      <c r="G19" s="19" t="n">
        <v>0.01167271046423399</v>
      </c>
      <c r="H19" s="19" t="n">
        <v>0.01167271046423399</v>
      </c>
      <c r="I19" s="20" t="n">
        <v>0</v>
      </c>
      <c r="J19" s="21">
        <f>G19*$C$5</f>
        <v/>
      </c>
      <c r="K19" s="21">
        <f>J19-I19</f>
        <v/>
      </c>
      <c r="L19" s="22" t="inlineStr">
        <is>
          <t>26.7233</t>
        </is>
      </c>
      <c r="M19" s="22" t="inlineStr">
        <is>
          <t>0</t>
        </is>
      </c>
      <c r="N19" s="23" t="inlineStr">
        <is>
          <t>3.5800</t>
        </is>
      </c>
      <c r="O19" s="24" t="inlineStr">
        <is>
          <t>0.638</t>
        </is>
      </c>
      <c r="P19" s="25" t="inlineStr">
        <is>
          <t>2.0606217856332547</t>
        </is>
      </c>
      <c r="Q19" s="18" t="inlineStr">
        <is>
          <t>OK</t>
        </is>
      </c>
    </row>
    <row r="20">
      <c r="B20" s="18" t="inlineStr">
        <is>
          <t>ABBN.SW</t>
        </is>
      </c>
      <c r="C20" s="18" t="inlineStr">
        <is>
          <t>ABB</t>
        </is>
      </c>
      <c r="D20" s="18" t="inlineStr">
        <is>
          <t>Industrials</t>
        </is>
      </c>
      <c r="E20" s="18" t="inlineStr">
        <is>
          <t>CHF</t>
        </is>
      </c>
      <c r="F20" s="19" t="n">
        <v>0.01576134</v>
      </c>
      <c r="G20" s="19" t="n">
        <v>0.02587354850497329</v>
      </c>
      <c r="H20" s="19" t="n">
        <v>0.01011220850497329</v>
      </c>
      <c r="I20" s="20" t="n">
        <v>8018</v>
      </c>
      <c r="J20" s="21">
        <f>G20*$C$5</f>
        <v/>
      </c>
      <c r="K20" s="21">
        <f>J20-I20</f>
        <v/>
      </c>
      <c r="L20" s="22" t="inlineStr">
        <is>
          <t>35.9552</t>
        </is>
      </c>
      <c r="M20" s="22" t="inlineStr">
        <is>
          <t>1.3557</t>
        </is>
      </c>
      <c r="N20" s="23" t="inlineStr">
        <is>
          <t>1.4700</t>
        </is>
      </c>
      <c r="O20" s="24" t="inlineStr">
        <is>
          <t>1.008</t>
        </is>
      </c>
      <c r="P20" s="25" t="inlineStr">
        <is>
          <t>1.4118263098709296</t>
        </is>
      </c>
      <c r="Q20" s="18" t="inlineStr">
        <is>
          <t>OK</t>
        </is>
      </c>
    </row>
    <row r="21">
      <c r="B21" s="18" t="inlineStr">
        <is>
          <t>SGKN.SW</t>
        </is>
      </c>
      <c r="C21" s="18" t="inlineStr">
        <is>
          <t>St Galler Kantonalbank</t>
        </is>
      </c>
      <c r="D21" s="18" t="inlineStr">
        <is>
          <t>Financial Services</t>
        </is>
      </c>
      <c r="E21" s="18" t="inlineStr">
        <is>
          <t>CHF</t>
        </is>
      </c>
      <c r="F21" s="19" t="n">
        <v>0.01797083</v>
      </c>
      <c r="G21" s="19" t="n">
        <v>0.02749868924608568</v>
      </c>
      <c r="H21" s="19" t="n">
        <v>0.009527859246085681</v>
      </c>
      <c r="I21" s="20" t="n">
        <v>9142</v>
      </c>
      <c r="J21" s="21">
        <f>G21*$C$5</f>
        <v/>
      </c>
      <c r="K21" s="21">
        <f>J21-I21</f>
        <v/>
      </c>
      <c r="L21" s="22" t="inlineStr">
        <is>
          <t>18.0884</t>
        </is>
      </c>
      <c r="M21" s="22" t="inlineStr">
        <is>
          <t>1.9413</t>
        </is>
      </c>
      <c r="N21" s="23" t="inlineStr">
        <is>
          <t>2.8600</t>
        </is>
      </c>
      <c r="O21" s="24" t="inlineStr">
        <is>
          <t>0.066</t>
        </is>
      </c>
      <c r="P21" s="25" t="inlineStr">
        <is>
          <t>2.1875279711643323</t>
        </is>
      </c>
      <c r="Q21" s="18" t="inlineStr">
        <is>
          <t>OK</t>
        </is>
      </c>
    </row>
    <row r="22">
      <c r="B22" s="18" t="inlineStr">
        <is>
          <t>JNJ</t>
        </is>
      </c>
      <c r="C22" s="18" t="inlineStr">
        <is>
          <t>Johnson &amp; Johnson</t>
        </is>
      </c>
      <c r="D22" s="18" t="inlineStr">
        <is>
          <t>Healthcare</t>
        </is>
      </c>
      <c r="E22" s="18" t="inlineStr">
        <is>
          <t>USD</t>
        </is>
      </c>
      <c r="F22" s="19" t="n">
        <v>0.01769666</v>
      </c>
      <c r="G22" s="19" t="n">
        <v>0.02639568076556998</v>
      </c>
      <c r="H22" s="19" t="n">
        <v>0.008699020765569982</v>
      </c>
      <c r="I22" s="20" t="n">
        <v>9002.52</v>
      </c>
      <c r="J22" s="21">
        <f>G22*$C$5</f>
        <v/>
      </c>
      <c r="K22" s="21">
        <f>J22-I22</f>
        <v/>
      </c>
      <c r="L22" s="22" t="inlineStr">
        <is>
          <t>31.2564</t>
        </is>
      </c>
      <c r="M22" s="22" t="inlineStr">
        <is>
          <t>2.8229</t>
        </is>
      </c>
      <c r="N22" s="23" t="inlineStr">
        <is>
          <t>1.9500</t>
        </is>
      </c>
      <c r="O22" s="24" t="inlineStr">
        <is>
          <t>0.235</t>
        </is>
      </c>
      <c r="P22" s="25" t="inlineStr">
        <is>
          <t>2.1802927628663924</t>
        </is>
      </c>
      <c r="Q22" s="18" t="inlineStr">
        <is>
          <t>OK</t>
        </is>
      </c>
    </row>
    <row r="23">
      <c r="B23" s="18" t="inlineStr">
        <is>
          <t>RUS.TO</t>
        </is>
      </c>
      <c r="C23" s="18" t="inlineStr">
        <is>
          <t>Russel Metals Inc.</t>
        </is>
      </c>
      <c r="D23" s="18" t="inlineStr">
        <is>
          <t>Industrials</t>
        </is>
      </c>
      <c r="E23" s="18" t="inlineStr">
        <is>
          <t>CAD</t>
        </is>
      </c>
      <c r="F23" s="19" t="n">
        <v>0</v>
      </c>
      <c r="G23" s="19" t="n">
        <v>0.00850569599719376</v>
      </c>
      <c r="H23" s="19" t="n">
        <v>0.00850569599719376</v>
      </c>
      <c r="I23" s="20" t="n">
        <v>0</v>
      </c>
      <c r="J23" s="21">
        <f>G23*$C$5</f>
        <v/>
      </c>
      <c r="K23" s="21">
        <f>J23-I23</f>
        <v/>
      </c>
      <c r="L23" s="22" t="inlineStr">
        <is>
          <t>21.7398</t>
        </is>
      </c>
      <c r="M23" s="22" t="inlineStr">
        <is>
          <t>0.5345</t>
        </is>
      </c>
      <c r="N23" s="23" t="inlineStr">
        <is>
          <t>2.0700</t>
        </is>
      </c>
      <c r="O23" s="24" t="inlineStr">
        <is>
          <t>1.118</t>
        </is>
      </c>
      <c r="P23" s="25" t="inlineStr">
        <is>
          <t>2.7021838324062206</t>
        </is>
      </c>
      <c r="Q23" s="18" t="inlineStr">
        <is>
          <t>OK</t>
        </is>
      </c>
    </row>
    <row r="24">
      <c r="B24" s="18" t="inlineStr">
        <is>
          <t>KNIN.SW</t>
        </is>
      </c>
      <c r="C24" s="18" t="inlineStr">
        <is>
          <t>Kuehne &amp; Nagel</t>
        </is>
      </c>
      <c r="D24" s="18" t="inlineStr">
        <is>
          <t>Industrials</t>
        </is>
      </c>
      <c r="E24" s="18" t="inlineStr">
        <is>
          <t>CHF</t>
        </is>
      </c>
      <c r="F24" s="19" t="n">
        <v>0</v>
      </c>
      <c r="G24" s="19" t="n">
        <v>0.008234237614304599</v>
      </c>
      <c r="H24" s="19" t="n">
        <v>0.008234237614304599</v>
      </c>
      <c r="I24" s="20" t="n">
        <v>0</v>
      </c>
      <c r="J24" s="21">
        <f>G24*$C$5</f>
        <v/>
      </c>
      <c r="K24" s="21">
        <f>J24-I24</f>
        <v/>
      </c>
      <c r="L24" s="22" t="inlineStr">
        <is>
          <t>31.1401</t>
        </is>
      </c>
      <c r="M24" s="22" t="inlineStr">
        <is>
          <t>2.4533</t>
        </is>
      </c>
      <c r="N24" s="23" t="inlineStr">
        <is>
          <t>2.6300</t>
        </is>
      </c>
      <c r="O24" s="24" t="inlineStr">
        <is>
          <t>0.644</t>
        </is>
      </c>
      <c r="P24" s="25" t="inlineStr">
        <is>
          <t>1.4323177848365685</t>
        </is>
      </c>
      <c r="Q24" s="18" t="inlineStr">
        <is>
          <t>OK</t>
        </is>
      </c>
    </row>
    <row r="25">
      <c r="B25" s="18" t="inlineStr">
        <is>
          <t>SOIL.TO</t>
        </is>
      </c>
      <c r="C25" s="18" t="inlineStr">
        <is>
          <t>Saturn Oil &amp; Gas</t>
        </is>
      </c>
      <c r="D25" s="18" t="inlineStr">
        <is>
          <t>Energy</t>
        </is>
      </c>
      <c r="E25" s="18" t="inlineStr">
        <is>
          <t>CAD</t>
        </is>
      </c>
      <c r="F25" s="19" t="n">
        <v>0</v>
      </c>
      <c r="G25" s="19" t="n">
        <v>0.005248195402523808</v>
      </c>
      <c r="H25" s="19" t="n">
        <v>0.005248195402523808</v>
      </c>
      <c r="I25" s="20" t="n">
        <v>0</v>
      </c>
      <c r="J25" s="21">
        <f>G25*$C$5</f>
        <v/>
      </c>
      <c r="K25" s="21">
        <f>J25-I25</f>
        <v/>
      </c>
      <c r="L25" s="22" t="inlineStr">
        <is>
          <t>28.9167</t>
        </is>
      </c>
      <c r="M25" s="22" t="inlineStr">
        <is>
          <t>1.93</t>
        </is>
      </c>
      <c r="N25" s="23" t="n"/>
      <c r="O25" s="24" t="inlineStr">
        <is>
          <t>0.433</t>
        </is>
      </c>
      <c r="P25" s="25" t="inlineStr">
        <is>
          <t>1.837378256036814</t>
        </is>
      </c>
      <c r="Q25" s="18" t="inlineStr">
        <is>
          <t>OK</t>
        </is>
      </c>
    </row>
    <row r="26">
      <c r="B26" s="18" t="inlineStr">
        <is>
          <t>BION.SW</t>
        </is>
      </c>
      <c r="C26" s="18" t="inlineStr">
        <is>
          <t>BB Biotech AG</t>
        </is>
      </c>
      <c r="D26" s="18" t="inlineStr">
        <is>
          <t>Healthcare</t>
        </is>
      </c>
      <c r="E26" s="18" t="inlineStr">
        <is>
          <t>CHF</t>
        </is>
      </c>
      <c r="F26" s="19" t="n">
        <v>0.01751438</v>
      </c>
      <c r="G26" s="19" t="n">
        <v>0.01794409015297282</v>
      </c>
      <c r="H26" s="19" t="n">
        <v>0.0004297101529728242</v>
      </c>
      <c r="I26" s="20" t="n">
        <v>8909.799999999999</v>
      </c>
      <c r="J26" s="21">
        <f>G26*$C$5</f>
        <v/>
      </c>
      <c r="K26" s="21">
        <f>J26-I26</f>
        <v/>
      </c>
      <c r="L26" s="22" t="inlineStr">
        <is>
          <t>2.0961</t>
        </is>
      </c>
      <c r="M26" s="22" t="inlineStr">
        <is>
          <t>0</t>
        </is>
      </c>
      <c r="N26" s="23" t="inlineStr">
        <is>
          <t>4.3900</t>
        </is>
      </c>
      <c r="O26" s="24" t="inlineStr">
        <is>
          <t>0.665</t>
        </is>
      </c>
      <c r="P26" s="25" t="inlineStr">
        <is>
          <t>1.4594119525701108</t>
        </is>
      </c>
      <c r="Q26" s="18" t="inlineStr">
        <is>
          <t>OK</t>
        </is>
      </c>
    </row>
    <row r="27">
      <c r="B27" s="18" t="inlineStr">
        <is>
          <t>RO.SW</t>
        </is>
      </c>
      <c r="C27" s="18" t="inlineStr">
        <is>
          <t>Roche Holding AG</t>
        </is>
      </c>
      <c r="D27" s="18" t="inlineStr">
        <is>
          <t>Healthcare</t>
        </is>
      </c>
      <c r="E27" s="18" t="inlineStr">
        <is>
          <t>CHF</t>
        </is>
      </c>
      <c r="F27" s="19" t="n">
        <v>0.03504629</v>
      </c>
      <c r="G27" s="19" t="n">
        <v>0.03505449891502305</v>
      </c>
      <c r="H27" s="19" t="n">
        <v>8.208915023044661e-06</v>
      </c>
      <c r="I27" s="20" t="n">
        <v>17828.51</v>
      </c>
      <c r="J27" s="21">
        <f>G27*$C$5</f>
        <v/>
      </c>
      <c r="K27" s="21">
        <f>J27-I27</f>
        <v/>
      </c>
      <c r="L27" s="22" t="inlineStr">
        <is>
          <t>24.3145</t>
        </is>
      </c>
      <c r="M27" s="22" t="inlineStr">
        <is>
          <t>1.7132</t>
        </is>
      </c>
      <c r="N27" s="23" t="inlineStr">
        <is>
          <t>2.6000</t>
        </is>
      </c>
      <c r="O27" s="24" t="inlineStr">
        <is>
          <t>0.346</t>
        </is>
      </c>
      <c r="P27" s="25" t="inlineStr">
        <is>
          <t>1.4246948914704678</t>
        </is>
      </c>
      <c r="Q27" s="18" t="inlineStr">
        <is>
          <t>OK</t>
        </is>
      </c>
    </row>
    <row r="28">
      <c r="B28" s="18" t="inlineStr">
        <is>
          <t>ZGLD.SW</t>
        </is>
      </c>
      <c r="C28" s="18" t="inlineStr">
        <is>
          <t>ZKB Gold ETF AA CHF</t>
        </is>
      </c>
      <c r="D28" s="18" t="inlineStr">
        <is>
          <t>—</t>
        </is>
      </c>
      <c r="E28" s="18" t="inlineStr">
        <is>
          <t>CHF</t>
        </is>
      </c>
      <c r="F28" s="19" t="n">
        <v>0.02619164</v>
      </c>
      <c r="G28" s="19" t="n">
        <v>0.02619164</v>
      </c>
      <c r="H28" s="19" t="n">
        <v>0</v>
      </c>
      <c r="I28" s="20" t="n">
        <v>13324.03</v>
      </c>
      <c r="J28" s="21">
        <f>G28*$C$5</f>
        <v/>
      </c>
      <c r="K28" s="21">
        <f>J28-I28</f>
        <v/>
      </c>
      <c r="L28" s="22" t="n"/>
      <c r="M28" s="22" t="n"/>
      <c r="N28" s="23" t="n"/>
      <c r="O28" s="24" t="n"/>
      <c r="P28" s="25" t="inlineStr">
        <is>
          <t>0.6955311209616081</t>
        </is>
      </c>
      <c r="Q28" s="18" t="inlineStr">
        <is>
          <t>OK</t>
        </is>
      </c>
    </row>
    <row r="29">
      <c r="B29" s="18" t="inlineStr">
        <is>
          <t>ABTC.SW</t>
        </is>
      </c>
      <c r="C29" s="18" t="inlineStr">
        <is>
          <t>21Shares Bitcoin ETP (CHF)</t>
        </is>
      </c>
      <c r="D29" s="18" t="inlineStr">
        <is>
          <t>—</t>
        </is>
      </c>
      <c r="E29" s="18" t="inlineStr">
        <is>
          <t>CHF</t>
        </is>
      </c>
      <c r="F29" s="19" t="n">
        <v>0.01761305</v>
      </c>
      <c r="G29" s="19" t="n">
        <v>0.01761305</v>
      </c>
      <c r="H29" s="19" t="n">
        <v>0</v>
      </c>
      <c r="I29" s="20" t="n">
        <v>8959.99</v>
      </c>
      <c r="J29" s="21">
        <f>G29*$C$5</f>
        <v/>
      </c>
      <c r="K29" s="21">
        <f>J29-I29</f>
        <v/>
      </c>
      <c r="L29" s="22" t="n"/>
      <c r="M29" s="22" t="n"/>
      <c r="N29" s="23" t="n"/>
      <c r="O29" s="24" t="inlineStr">
        <is>
          <t>4.164535</t>
        </is>
      </c>
      <c r="P29" s="25" t="inlineStr">
        <is>
          <t>-0.5251273198068225</t>
        </is>
      </c>
      <c r="Q29" s="18" t="inlineStr">
        <is>
          <t>OK</t>
        </is>
      </c>
    </row>
    <row r="30">
      <c r="B30" s="18" t="inlineStr">
        <is>
          <t>D05.SI</t>
        </is>
      </c>
      <c r="C30" s="18" t="inlineStr">
        <is>
          <t>DBS Group</t>
        </is>
      </c>
      <c r="D30" s="18" t="inlineStr">
        <is>
          <t>Financial Services</t>
        </is>
      </c>
      <c r="E30" s="18" t="inlineStr">
        <is>
          <t>SGD</t>
        </is>
      </c>
      <c r="F30" s="19" t="n">
        <v>0.00887489</v>
      </c>
      <c r="G30" s="19" t="n">
        <v>0.00887489</v>
      </c>
      <c r="H30" s="19" t="n">
        <v>0</v>
      </c>
      <c r="I30" s="20" t="n">
        <v>4514.77</v>
      </c>
      <c r="J30" s="21">
        <f>G30*$C$5</f>
        <v/>
      </c>
      <c r="K30" s="21">
        <f>J30-I30</f>
        <v/>
      </c>
      <c r="L30" s="22" t="inlineStr">
        <is>
          <t>19.7319</t>
        </is>
      </c>
      <c r="M30" s="22" t="inlineStr">
        <is>
          <t>2.6278</t>
        </is>
      </c>
      <c r="N30" s="23" t="inlineStr">
        <is>
          <t>3.7100</t>
        </is>
      </c>
      <c r="O30" s="24" t="inlineStr">
        <is>
          <t>0.292</t>
        </is>
      </c>
      <c r="P30" s="25" t="inlineStr">
        <is>
          <t>2.719193917314188</t>
        </is>
      </c>
      <c r="Q30" s="26" t="inlineStr">
        <is>
          <t>data_gap</t>
        </is>
      </c>
    </row>
    <row r="31">
      <c r="B31" s="18" t="inlineStr">
        <is>
          <t>NOVO-B.CO</t>
        </is>
      </c>
      <c r="C31" s="18" t="inlineStr">
        <is>
          <t>Novo Nordisk A/S</t>
        </is>
      </c>
      <c r="D31" s="18" t="inlineStr">
        <is>
          <t>Healthcare</t>
        </is>
      </c>
      <c r="E31" s="18" t="inlineStr">
        <is>
          <t>DKK</t>
        </is>
      </c>
      <c r="F31" s="19" t="n">
        <v>0.00899091</v>
      </c>
      <c r="G31" s="19" t="n">
        <v>0.004454829512848472</v>
      </c>
      <c r="H31" s="19" t="n">
        <v>-0.004536080487151528</v>
      </c>
      <c r="I31" s="20" t="n">
        <v>4573.79</v>
      </c>
      <c r="J31" s="21">
        <f>G31*$C$5</f>
        <v/>
      </c>
      <c r="K31" s="21">
        <f>J31-I31</f>
        <v/>
      </c>
      <c r="L31" s="22" t="inlineStr">
        <is>
          <t>9.6497</t>
        </is>
      </c>
      <c r="M31" s="22" t="inlineStr">
        <is>
          <t>4.3787</t>
        </is>
      </c>
      <c r="N31" s="23" t="inlineStr">
        <is>
          <t>4.6200</t>
        </is>
      </c>
      <c r="O31" s="24" t="inlineStr">
        <is>
          <t>0.344</t>
        </is>
      </c>
      <c r="P31" s="25" t="inlineStr">
        <is>
          <t>-0.5591543276586127</t>
        </is>
      </c>
      <c r="Q31" s="18" t="inlineStr">
        <is>
          <t>OK</t>
        </is>
      </c>
    </row>
    <row r="32">
      <c r="B32" s="18" t="inlineStr">
        <is>
          <t>CHDVD.SW</t>
        </is>
      </c>
      <c r="C32" s="18" t="inlineStr">
        <is>
          <t>iShares Swiss Dividend ETF</t>
        </is>
      </c>
      <c r="D32" s="18" t="inlineStr">
        <is>
          <t>Andere</t>
        </is>
      </c>
      <c r="E32" s="18" t="inlineStr">
        <is>
          <t>CHF</t>
        </is>
      </c>
      <c r="F32" s="19" t="n">
        <v>0.18491754</v>
      </c>
      <c r="G32" s="19" t="n">
        <v>0.1777514926004367</v>
      </c>
      <c r="H32" s="19" t="n">
        <v>-0.007166047399563347</v>
      </c>
      <c r="I32" s="20" t="n">
        <v>94070</v>
      </c>
      <c r="J32" s="21">
        <f>G32*$C$5</f>
        <v/>
      </c>
      <c r="K32" s="21">
        <f>J32-I32</f>
        <v/>
      </c>
      <c r="L32" s="22" t="inlineStr">
        <is>
          <t>20.234112</t>
        </is>
      </c>
      <c r="M32" s="22" t="n"/>
      <c r="N32" s="23" t="inlineStr">
        <is>
          <t>4.17</t>
        </is>
      </c>
      <c r="O32" s="24" t="inlineStr">
        <is>
          <t>0.82</t>
        </is>
      </c>
      <c r="P32" s="25" t="inlineStr">
        <is>
          <t>1.0316369023568415</t>
        </is>
      </c>
      <c r="Q32" s="18" t="inlineStr">
        <is>
          <t>OK</t>
        </is>
      </c>
    </row>
    <row r="33">
      <c r="B33" s="18" t="inlineStr">
        <is>
          <t>PLTR</t>
        </is>
      </c>
      <c r="C33" s="18" t="inlineStr">
        <is>
          <t>Palantir Technologi</t>
        </is>
      </c>
      <c r="D33" s="18" t="inlineStr">
        <is>
          <t>Technology</t>
        </is>
      </c>
      <c r="E33" s="18" t="inlineStr">
        <is>
          <t>USD</t>
        </is>
      </c>
      <c r="F33" s="19" t="n">
        <v>0.01563653</v>
      </c>
      <c r="G33" s="19" t="n">
        <v>0.007747611234295586</v>
      </c>
      <c r="H33" s="19" t="n">
        <v>-0.007888918765704413</v>
      </c>
      <c r="I33" s="20" t="n">
        <v>7954.51</v>
      </c>
      <c r="J33" s="21">
        <f>G33*$C$5</f>
        <v/>
      </c>
      <c r="K33" s="21">
        <f>J33-I33</f>
        <v/>
      </c>
      <c r="L33" s="22" t="inlineStr">
        <is>
          <t>164.6068</t>
        </is>
      </c>
      <c r="M33" s="22" t="inlineStr">
        <is>
          <t>1.8461</t>
        </is>
      </c>
      <c r="N33" s="23" t="n"/>
      <c r="O33" s="24" t="inlineStr">
        <is>
          <t>1.621</t>
        </is>
      </c>
      <c r="P33" s="25" t="inlineStr">
        <is>
          <t>0.28141004279152904</t>
        </is>
      </c>
      <c r="Q33" s="18" t="inlineStr">
        <is>
          <t>OK</t>
        </is>
      </c>
    </row>
    <row r="34">
      <c r="B34" s="18" t="inlineStr">
        <is>
          <t>KAP.IL</t>
        </is>
      </c>
      <c r="C34" s="18" t="inlineStr">
        <is>
          <t>Kazatomprom</t>
        </is>
      </c>
      <c r="D34" s="18" t="inlineStr">
        <is>
          <t>Energy</t>
        </is>
      </c>
      <c r="E34" s="18" t="inlineStr">
        <is>
          <t>USD</t>
        </is>
      </c>
      <c r="F34" s="19" t="n">
        <v>0.0168308</v>
      </c>
      <c r="G34" s="19" t="n">
        <v>0.008339349917288691</v>
      </c>
      <c r="H34" s="19" t="n">
        <v>-0.008491450082711308</v>
      </c>
      <c r="I34" s="20" t="n">
        <v>8562.049999999999</v>
      </c>
      <c r="J34" s="21">
        <f>G34*$C$5</f>
        <v/>
      </c>
      <c r="K34" s="21">
        <f>J34-I34</f>
        <v/>
      </c>
      <c r="L34" s="22" t="inlineStr">
        <is>
          <t>11.039</t>
        </is>
      </c>
      <c r="M34" s="22" t="inlineStr">
        <is>
          <t>0.74</t>
        </is>
      </c>
      <c r="N34" s="23" t="inlineStr">
        <is>
          <t>0.0000</t>
        </is>
      </c>
      <c r="O34" s="24" t="inlineStr">
        <is>
          <t>0.16</t>
        </is>
      </c>
      <c r="P34" s="25" t="inlineStr">
        <is>
          <t>0.7946656177401442</t>
        </is>
      </c>
      <c r="Q34" s="18" t="inlineStr">
        <is>
          <t>OK</t>
        </is>
      </c>
    </row>
    <row r="35">
      <c r="B35" s="18" t="inlineStr">
        <is>
          <t>OFN.SW</t>
        </is>
      </c>
      <c r="C35" s="18" t="inlineStr">
        <is>
          <t>Orell Fuessli Holding</t>
        </is>
      </c>
      <c r="D35" s="18" t="inlineStr">
        <is>
          <t>Industrials</t>
        </is>
      </c>
      <c r="E35" s="18" t="inlineStr">
        <is>
          <t>CHF</t>
        </is>
      </c>
      <c r="F35" s="19" t="n">
        <v>0.01732498</v>
      </c>
      <c r="G35" s="19" t="n">
        <v>0.00858420696164343</v>
      </c>
      <c r="H35" s="19" t="n">
        <v>-0.00874077303835657</v>
      </c>
      <c r="I35" s="20" t="n">
        <v>8813.450000000001</v>
      </c>
      <c r="J35" s="21">
        <f>G35*$C$5</f>
        <v/>
      </c>
      <c r="K35" s="21">
        <f>J35-I35</f>
        <v/>
      </c>
      <c r="L35" s="22" t="inlineStr">
        <is>
          <t>16.7866</t>
        </is>
      </c>
      <c r="M35" s="22" t="inlineStr">
        <is>
          <t>1.3077</t>
        </is>
      </c>
      <c r="N35" s="23" t="inlineStr">
        <is>
          <t>4.1000</t>
        </is>
      </c>
      <c r="O35" s="24" t="inlineStr">
        <is>
          <t>0.128</t>
        </is>
      </c>
      <c r="P35" s="25" t="inlineStr">
        <is>
          <t>0.955188982768697</t>
        </is>
      </c>
      <c r="Q35" s="18" t="inlineStr">
        <is>
          <t>OK</t>
        </is>
      </c>
    </row>
    <row r="36">
      <c r="B36" s="18" t="inlineStr">
        <is>
          <t>FHZN.SW</t>
        </is>
      </c>
      <c r="C36" s="18" t="inlineStr">
        <is>
          <t>Flughafen Zurich A</t>
        </is>
      </c>
      <c r="D36" s="18" t="inlineStr">
        <is>
          <t>Industrials</t>
        </is>
      </c>
      <c r="E36" s="18" t="inlineStr">
        <is>
          <t>CHF</t>
        </is>
      </c>
      <c r="F36" s="19" t="n">
        <v>0.01744688</v>
      </c>
      <c r="G36" s="19" t="n">
        <v>0.00864460615567565</v>
      </c>
      <c r="H36" s="19" t="n">
        <v>-0.008802273844324349</v>
      </c>
      <c r="I36" s="20" t="n">
        <v>8875.459999999999</v>
      </c>
      <c r="J36" s="21">
        <f>G36*$C$5</f>
        <v/>
      </c>
      <c r="K36" s="21">
        <f>J36-I36</f>
        <v/>
      </c>
      <c r="L36" s="22" t="inlineStr">
        <is>
          <t>17.8364</t>
        </is>
      </c>
      <c r="M36" s="22" t="inlineStr">
        <is>
          <t>8.0658</t>
        </is>
      </c>
      <c r="N36" s="23" t="inlineStr">
        <is>
          <t>4.2600</t>
        </is>
      </c>
      <c r="O36" s="24" t="inlineStr">
        <is>
          <t>0.533</t>
        </is>
      </c>
      <c r="P36" s="25" t="inlineStr">
        <is>
          <t>-0.7802727921081292</t>
        </is>
      </c>
      <c r="Q36" s="18" t="inlineStr">
        <is>
          <t>OK</t>
        </is>
      </c>
    </row>
    <row r="37">
      <c r="B37" s="18" t="inlineStr">
        <is>
          <t>NVDA</t>
        </is>
      </c>
      <c r="C37" s="18" t="inlineStr">
        <is>
          <t>NVIDIA Corp</t>
        </is>
      </c>
      <c r="D37" s="18" t="inlineStr">
        <is>
          <t>Technology</t>
        </is>
      </c>
      <c r="E37" s="18" t="inlineStr">
        <is>
          <t>USD</t>
        </is>
      </c>
      <c r="F37" s="19" t="n">
        <v>0.01759065</v>
      </c>
      <c r="G37" s="19" t="n">
        <v>0.008715841529966153</v>
      </c>
      <c r="H37" s="19" t="n">
        <v>-0.008874808470033848</v>
      </c>
      <c r="I37" s="20" t="n">
        <v>8948.59</v>
      </c>
      <c r="J37" s="21">
        <f>G37*$C$5</f>
        <v/>
      </c>
      <c r="K37" s="21">
        <f>J37-I37</f>
        <v/>
      </c>
      <c r="L37" s="22" t="inlineStr">
        <is>
          <t>28.5</t>
        </is>
      </c>
      <c r="M37" s="22" t="inlineStr">
        <is>
          <t>0.4791</t>
        </is>
      </c>
      <c r="N37" s="23" t="inlineStr">
        <is>
          <t>0.1200</t>
        </is>
      </c>
      <c r="O37" s="24" t="inlineStr">
        <is>
          <t>2.217</t>
        </is>
      </c>
      <c r="P37" s="25" t="inlineStr">
        <is>
          <t>0.7587256056229105</t>
        </is>
      </c>
      <c r="Q37" s="18" t="inlineStr">
        <is>
          <t>OK</t>
        </is>
      </c>
    </row>
    <row r="38">
      <c r="B38" s="18" t="inlineStr">
        <is>
          <t>CMBN.SW</t>
        </is>
      </c>
      <c r="C38" s="18" t="inlineStr">
        <is>
          <t>Cembra Money Bank</t>
        </is>
      </c>
      <c r="D38" s="18" t="inlineStr">
        <is>
          <t>Financial Services</t>
        </is>
      </c>
      <c r="E38" s="18" t="inlineStr">
        <is>
          <t>CHF</t>
        </is>
      </c>
      <c r="F38" s="19" t="n">
        <v>0.0176974</v>
      </c>
      <c r="G38" s="19" t="n">
        <v>0.008768734179375008</v>
      </c>
      <c r="H38" s="19" t="n">
        <v>-0.008928665820624992</v>
      </c>
      <c r="I38" s="20" t="n">
        <v>9002.9</v>
      </c>
      <c r="J38" s="21">
        <f>G38*$C$5</f>
        <v/>
      </c>
      <c r="K38" s="21">
        <f>J38-I38</f>
        <v/>
      </c>
      <c r="L38" s="22" t="inlineStr">
        <is>
          <t>13.949</t>
        </is>
      </c>
      <c r="M38" s="22" t="inlineStr">
        <is>
          <t>0</t>
        </is>
      </c>
      <c r="N38" s="23" t="inlineStr">
        <is>
          <t>5.3000</t>
        </is>
      </c>
      <c r="O38" s="24" t="inlineStr">
        <is>
          <t>0.183</t>
        </is>
      </c>
      <c r="P38" s="25" t="inlineStr">
        <is>
          <t>-0.20976664648745436</t>
        </is>
      </c>
      <c r="Q38" s="18" t="inlineStr">
        <is>
          <t>OK</t>
        </is>
      </c>
    </row>
    <row r="39">
      <c r="B39" s="18" t="inlineStr">
        <is>
          <t>GOOGL</t>
        </is>
      </c>
      <c r="C39" s="18" t="inlineStr">
        <is>
          <t>Alphabet Inc</t>
        </is>
      </c>
      <c r="D39" s="18" t="inlineStr">
        <is>
          <t>Communication Services</t>
        </is>
      </c>
      <c r="E39" s="18" t="inlineStr">
        <is>
          <t>USD</t>
        </is>
      </c>
      <c r="F39" s="19" t="n">
        <v>0.01794832</v>
      </c>
      <c r="G39" s="19" t="n">
        <v>0.008893060395671684</v>
      </c>
      <c r="H39" s="19" t="n">
        <v>-0.009055259604328316</v>
      </c>
      <c r="I39" s="20" t="n">
        <v>9130.549999999999</v>
      </c>
      <c r="J39" s="21">
        <f>G39*$C$5</f>
        <v/>
      </c>
      <c r="K39" s="21">
        <f>J39-I39</f>
        <v/>
      </c>
      <c r="L39" s="22" t="inlineStr">
        <is>
          <t>16.9485</t>
        </is>
      </c>
      <c r="M39" s="22" t="inlineStr">
        <is>
          <t>1.2549</t>
        </is>
      </c>
      <c r="N39" s="23" t="inlineStr">
        <is>
          <t>0.2500</t>
        </is>
      </c>
      <c r="O39" s="24" t="inlineStr">
        <is>
          <t>1.225</t>
        </is>
      </c>
      <c r="P39" s="25" t="inlineStr">
        <is>
          <t>1.1532134350394654</t>
        </is>
      </c>
      <c r="Q39" s="18" t="inlineStr">
        <is>
          <t>OK</t>
        </is>
      </c>
    </row>
    <row r="40">
      <c r="B40" s="18" t="inlineStr">
        <is>
          <t>SREN.SW</t>
        </is>
      </c>
      <c r="C40" s="18" t="inlineStr">
        <is>
          <t>Swiss Re AG</t>
        </is>
      </c>
      <c r="D40" s="18" t="inlineStr">
        <is>
          <t>Financial Services</t>
        </is>
      </c>
      <c r="E40" s="18" t="inlineStr">
        <is>
          <t>CHF</t>
        </is>
      </c>
      <c r="F40" s="19" t="n">
        <v>0.01949133</v>
      </c>
      <c r="G40" s="19" t="n">
        <v>0.009657593294635228</v>
      </c>
      <c r="H40" s="19" t="n">
        <v>-0.009833736705364771</v>
      </c>
      <c r="I40" s="20" t="n">
        <v>9915.5</v>
      </c>
      <c r="J40" s="21">
        <f>G40*$C$5</f>
        <v/>
      </c>
      <c r="K40" s="21">
        <f>J40-I40</f>
        <v/>
      </c>
      <c r="L40" s="22" t="inlineStr">
        <is>
          <t>10.5004</t>
        </is>
      </c>
      <c r="M40" s="22" t="inlineStr">
        <is>
          <t>0.8009</t>
        </is>
      </c>
      <c r="N40" s="23" t="inlineStr">
        <is>
          <t>5.6300</t>
        </is>
      </c>
      <c r="O40" s="24" t="inlineStr">
        <is>
          <t>0.349</t>
        </is>
      </c>
      <c r="P40" s="25" t="inlineStr">
        <is>
          <t>0.008610139520260324</t>
        </is>
      </c>
      <c r="Q40" s="18" t="inlineStr">
        <is>
          <t>OK</t>
        </is>
      </c>
    </row>
    <row r="41">
      <c r="B41" s="18" t="inlineStr">
        <is>
          <t>HOLN.SW</t>
        </is>
      </c>
      <c r="C41" s="18" t="inlineStr">
        <is>
          <t>Holcim AG</t>
        </is>
      </c>
      <c r="D41" s="18" t="inlineStr">
        <is>
          <t>Basic Materials</t>
        </is>
      </c>
      <c r="E41" s="18" t="inlineStr">
        <is>
          <t>CHF</t>
        </is>
      </c>
      <c r="F41" s="19" t="n">
        <v>0.01983239</v>
      </c>
      <c r="G41" s="19" t="n">
        <v>0.009826582212737188</v>
      </c>
      <c r="H41" s="19" t="n">
        <v>-0.01000580778726281</v>
      </c>
      <c r="I41" s="20" t="n">
        <v>10089</v>
      </c>
      <c r="J41" s="21">
        <f>G41*$C$5</f>
        <v/>
      </c>
      <c r="K41" s="21">
        <f>J41-I41</f>
        <v/>
      </c>
      <c r="L41" s="22" t="inlineStr">
        <is>
          <t>99.1176</t>
        </is>
      </c>
      <c r="M41" s="22" t="inlineStr">
        <is>
          <t>0.3229</t>
        </is>
      </c>
      <c r="N41" s="23" t="inlineStr">
        <is>
          <t>2.5600</t>
        </is>
      </c>
      <c r="O41" s="24" t="inlineStr">
        <is>
          <t>0.74</t>
        </is>
      </c>
      <c r="P41" s="25" t="inlineStr">
        <is>
          <t>-0.004875888216948939</t>
        </is>
      </c>
      <c r="Q41" s="18" t="inlineStr">
        <is>
          <t>OK</t>
        </is>
      </c>
    </row>
    <row r="42">
      <c r="B42" s="18" t="inlineStr">
        <is>
          <t>PST.MI</t>
        </is>
      </c>
      <c r="C42" s="18" t="inlineStr">
        <is>
          <t>Poste Italiane</t>
        </is>
      </c>
      <c r="D42" s="18" t="inlineStr">
        <is>
          <t>Industrials</t>
        </is>
      </c>
      <c r="E42" s="18" t="inlineStr">
        <is>
          <t>EUR</t>
        </is>
      </c>
      <c r="F42" s="19" t="n">
        <v>0.02393376</v>
      </c>
      <c r="G42" s="19" t="n">
        <v>0.01185873514487769</v>
      </c>
      <c r="H42" s="19" t="n">
        <v>-0.01207502485512231</v>
      </c>
      <c r="I42" s="20" t="n">
        <v>12175.42</v>
      </c>
      <c r="J42" s="21">
        <f>G42*$C$5</f>
        <v/>
      </c>
      <c r="K42" s="21">
        <f>J42-I42</f>
        <v/>
      </c>
      <c r="L42" s="22" t="inlineStr">
        <is>
          <t>13.8649</t>
        </is>
      </c>
      <c r="M42" s="22" t="inlineStr">
        <is>
          <t>0.92</t>
        </is>
      </c>
      <c r="N42" s="23" t="inlineStr">
        <is>
          <t>3.3400</t>
        </is>
      </c>
      <c r="O42" s="24" t="inlineStr">
        <is>
          <t>0.769</t>
        </is>
      </c>
      <c r="P42" s="25" t="inlineStr">
        <is>
          <t>1.2414735493129172</t>
        </is>
      </c>
      <c r="Q42" s="18" t="inlineStr">
        <is>
          <t>OK</t>
        </is>
      </c>
    </row>
    <row r="43">
      <c r="B43" s="18" t="inlineStr">
        <is>
          <t>AKRBP.OL</t>
        </is>
      </c>
      <c r="C43" s="18" t="inlineStr">
        <is>
          <t>Aker BP</t>
        </is>
      </c>
      <c r="D43" s="18" t="inlineStr">
        <is>
          <t>Energy</t>
        </is>
      </c>
      <c r="E43" s="18" t="inlineStr">
        <is>
          <t>NOK</t>
        </is>
      </c>
      <c r="F43" s="19" t="n">
        <v>0.02577589</v>
      </c>
      <c r="G43" s="19" t="n">
        <v>0.01277147646811455</v>
      </c>
      <c r="H43" s="19" t="n">
        <v>-0.01300441353188545</v>
      </c>
      <c r="I43" s="20" t="n">
        <v>13112.54</v>
      </c>
      <c r="J43" s="21">
        <f>G43*$C$5</f>
        <v/>
      </c>
      <c r="K43" s="21">
        <f>J43-I43</f>
        <v/>
      </c>
      <c r="L43" s="22" t="inlineStr">
        <is>
          <t>16.6509</t>
        </is>
      </c>
      <c r="M43" s="22" t="inlineStr">
        <is>
          <t>1.11</t>
        </is>
      </c>
      <c r="N43" s="23" t="inlineStr">
        <is>
          <t>0.7200</t>
        </is>
      </c>
      <c r="O43" s="24" t="inlineStr">
        <is>
          <t>-0.067</t>
        </is>
      </c>
      <c r="P43" s="25" t="inlineStr">
        <is>
          <t>1.0601045836285563</t>
        </is>
      </c>
      <c r="Q43" s="18" t="inlineStr">
        <is>
          <t>OK</t>
        </is>
      </c>
    </row>
    <row r="44">
      <c r="B44" s="18" t="inlineStr">
        <is>
          <t>NESN.SW</t>
        </is>
      </c>
      <c r="C44" s="18" t="inlineStr">
        <is>
          <t>Nestle SA</t>
        </is>
      </c>
      <c r="D44" s="18" t="inlineStr">
        <is>
          <t>Consumer Defensive</t>
        </is>
      </c>
      <c r="E44" s="18" t="inlineStr">
        <is>
          <t>CHF</t>
        </is>
      </c>
      <c r="F44" s="19" t="n">
        <v>0.0261587</v>
      </c>
      <c r="G44" s="19" t="n">
        <v>0.01296115173856143</v>
      </c>
      <c r="H44" s="19" t="n">
        <v>-0.01319754826143857</v>
      </c>
      <c r="I44" s="20" t="n">
        <v>13307.28</v>
      </c>
      <c r="J44" s="21">
        <f>G44*$C$5</f>
        <v/>
      </c>
      <c r="K44" s="21">
        <f>J44-I44</f>
        <v/>
      </c>
      <c r="L44" s="22" t="inlineStr">
        <is>
          <t>26.4281</t>
        </is>
      </c>
      <c r="M44" s="22" t="inlineStr">
        <is>
          <t>1.8775</t>
        </is>
      </c>
      <c r="N44" s="23" t="inlineStr">
        <is>
          <t>3.9800</t>
        </is>
      </c>
      <c r="O44" s="24" t="inlineStr">
        <is>
          <t>0.496</t>
        </is>
      </c>
      <c r="P44" s="25" t="inlineStr">
        <is>
          <t>0.4364499683527488</t>
        </is>
      </c>
      <c r="Q44" s="18" t="inlineStr">
        <is>
          <t>OK</t>
        </is>
      </c>
    </row>
    <row r="45">
      <c r="B45" s="18" t="inlineStr">
        <is>
          <t>SCMN.SW</t>
        </is>
      </c>
      <c r="C45" s="18" t="inlineStr">
        <is>
          <t>Swisscom AG</t>
        </is>
      </c>
      <c r="D45" s="18" t="inlineStr">
        <is>
          <t>Communication Services</t>
        </is>
      </c>
      <c r="E45" s="18" t="inlineStr">
        <is>
          <t>CHF</t>
        </is>
      </c>
      <c r="F45" s="19" t="n">
        <v>0.0262812</v>
      </c>
      <c r="G45" s="19" t="n">
        <v>0.01302184822148962</v>
      </c>
      <c r="H45" s="19" t="n">
        <v>-0.01325935177851038</v>
      </c>
      <c r="I45" s="20" t="n">
        <v>13369.59</v>
      </c>
      <c r="J45" s="21">
        <f>G45*$C$5</f>
        <v/>
      </c>
      <c r="K45" s="21">
        <f>J45-I45</f>
        <v/>
      </c>
      <c r="L45" s="22" t="inlineStr">
        <is>
          <t>25.856</t>
        </is>
      </c>
      <c r="M45" s="22" t="inlineStr">
        <is>
          <t>2.582</t>
        </is>
      </c>
      <c r="N45" s="23" t="inlineStr">
        <is>
          <t>3.9600</t>
        </is>
      </c>
      <c r="O45" s="24" t="inlineStr">
        <is>
          <t>0.406</t>
        </is>
      </c>
      <c r="P45" s="25" t="inlineStr">
        <is>
          <t>0.7253536973784682</t>
        </is>
      </c>
      <c r="Q45" s="18" t="inlineStr">
        <is>
          <t>OK</t>
        </is>
      </c>
    </row>
    <row r="46">
      <c r="B46" s="18" t="inlineStr">
        <is>
          <t>SLHN.SW</t>
        </is>
      </c>
      <c r="C46" s="18" t="inlineStr">
        <is>
          <t>Swiss Life Holding</t>
        </is>
      </c>
      <c r="D46" s="18" t="inlineStr">
        <is>
          <t>Financial Services</t>
        </is>
      </c>
      <c r="E46" s="18" t="inlineStr">
        <is>
          <t>CHF</t>
        </is>
      </c>
      <c r="F46" s="19" t="n">
        <v>0.02671539</v>
      </c>
      <c r="G46" s="19" t="n">
        <v>0.01323698133106181</v>
      </c>
      <c r="H46" s="19" t="n">
        <v>-0.01347840866893819</v>
      </c>
      <c r="I46" s="20" t="n">
        <v>13590.47</v>
      </c>
      <c r="J46" s="21">
        <f>G46*$C$5</f>
        <v/>
      </c>
      <c r="K46" s="21">
        <f>J46-I46</f>
        <v/>
      </c>
      <c r="L46" s="22" t="inlineStr">
        <is>
          <t>19.9608</t>
        </is>
      </c>
      <c r="M46" s="22" t="inlineStr">
        <is>
          <t>2.2796</t>
        </is>
      </c>
      <c r="N46" s="23" t="inlineStr">
        <is>
          <t>4.0400</t>
        </is>
      </c>
      <c r="O46" s="24" t="inlineStr">
        <is>
          <t>0.527</t>
        </is>
      </c>
      <c r="P46" s="25" t="inlineStr">
        <is>
          <t>0.47234714711749404</t>
        </is>
      </c>
      <c r="Q46" s="18" t="inlineStr">
        <is>
          <t>OK</t>
        </is>
      </c>
    </row>
    <row r="47">
      <c r="B47" s="18" t="inlineStr">
        <is>
          <t>ZURN.SW</t>
        </is>
      </c>
      <c r="C47" s="18" t="inlineStr">
        <is>
          <t>Zurich Insurance G</t>
        </is>
      </c>
      <c r="D47" s="18" t="inlineStr">
        <is>
          <t>Financial Services</t>
        </is>
      </c>
      <c r="E47" s="18" t="inlineStr">
        <is>
          <t>CHF</t>
        </is>
      </c>
      <c r="F47" s="19" t="n">
        <v>0.03422893</v>
      </c>
      <c r="G47" s="19" t="n">
        <v>0.01695980135016639</v>
      </c>
      <c r="H47" s="19" t="n">
        <v>-0.01726912864983361</v>
      </c>
      <c r="I47" s="20" t="n">
        <v>17412.71</v>
      </c>
      <c r="J47" s="21">
        <f>G47*$C$5</f>
        <v/>
      </c>
      <c r="K47" s="21">
        <f>J47-I47</f>
        <v/>
      </c>
      <c r="L47" s="22" t="inlineStr">
        <is>
          <t>14.3365</t>
        </is>
      </c>
      <c r="M47" s="22" t="inlineStr">
        <is>
          <t>9.9655</t>
        </is>
      </c>
      <c r="N47" s="23" t="inlineStr">
        <is>
          <t>6.5300</t>
        </is>
      </c>
      <c r="O47" s="24" t="inlineStr">
        <is>
          <t>0.314</t>
        </is>
      </c>
      <c r="P47" s="25" t="inlineStr">
        <is>
          <t>0.2369216491075105</t>
        </is>
      </c>
      <c r="Q47" s="18" t="inlineStr">
        <is>
          <t>OK</t>
        </is>
      </c>
    </row>
  </sheetData>
  <autoFilter ref="B10:Q47"/>
  <mergeCells count="2">
    <mergeCell ref="B2:Q2"/>
    <mergeCell ref="B3:Q3"/>
  </mergeCells>
  <conditionalFormatting sqref="H11:H4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1307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0" customHeight="1">
      <c r="B2" s="14" t="inlineStr">
        <is>
          <t>5J-Sharpe Ratio · vollständige Formelherleitung</t>
        </is>
      </c>
    </row>
    <row r="3" ht="28" customHeight="1">
      <c r="B3" s="2" t="inlineStr">
        <is>
          <t>Identische qualifizierte CHF-Tagesreihen für Ist und Vorschlag · historischer Allokationsproxy, nicht tatsächliche Depot-Historie vor Portfolio-Start.</t>
        </is>
      </c>
    </row>
    <row r="5">
      <c r="B5" s="4" t="inlineStr">
        <is>
          <t>Risikofreier Jahreszins</t>
        </is>
      </c>
      <c r="C5" s="27" t="n">
        <v>0.02</v>
      </c>
    </row>
    <row r="6">
      <c r="B6" s="4" t="inlineStr">
        <is>
          <t>Handelstage pro Jahr</t>
        </is>
      </c>
      <c r="C6" s="28" t="n">
        <v>252</v>
      </c>
    </row>
    <row r="7">
      <c r="B7" s="4" t="inlineStr">
        <is>
          <t>Beobachtungen</t>
        </is>
      </c>
      <c r="C7" s="28" t="n">
        <v>1292</v>
      </c>
    </row>
    <row r="8">
      <c r="B8" s="4" t="inlineStr">
        <is>
          <t>Zeitfenster</t>
        </is>
      </c>
      <c r="C8" s="29" t="inlineStr">
        <is>
          <t>2021-09-26 bis 2026-09-26</t>
        </is>
      </c>
    </row>
    <row r="10">
      <c r="B10" s="6" t="inlineStr">
        <is>
          <t>Grösse</t>
        </is>
      </c>
      <c r="C10" s="6" t="inlineStr">
        <is>
          <t>Ist</t>
        </is>
      </c>
      <c r="D10" s="6" t="inlineStr">
        <is>
          <t>Vorschlag</t>
        </is>
      </c>
      <c r="E10" s="6" t="inlineStr">
        <is>
          <t>Excel-Formel</t>
        </is>
      </c>
    </row>
    <row r="11" ht="24" customHeight="1">
      <c r="B11" s="30" t="inlineStr">
        <is>
          <t>Ø tägliche Rendite</t>
        </is>
      </c>
      <c r="C11" s="31">
        <f>AVERAGE(E16:E1307)</f>
        <v/>
      </c>
      <c r="D11" s="31">
        <f>AVERAGE(G16:G1307)</f>
        <v/>
      </c>
      <c r="E11" s="32" t="inlineStr">
        <is>
          <t>AVERAGE(Tagesrenditen)</t>
        </is>
      </c>
    </row>
    <row r="12" ht="24" customHeight="1">
      <c r="B12" s="30" t="inlineStr">
        <is>
          <t>Risikofreier Tageszins</t>
        </is>
      </c>
      <c r="C12" s="31">
        <f>$C$5/$C$6</f>
        <v/>
      </c>
      <c r="D12" s="31">
        <f>$C$5/$C$6</f>
        <v/>
      </c>
      <c r="E12" s="32" t="inlineStr">
        <is>
          <t>Jahreszins / Handelstage</t>
        </is>
      </c>
    </row>
    <row r="13" ht="24" customHeight="1">
      <c r="B13" s="30" t="inlineStr">
        <is>
          <t>Stdabw. tägliche Rendite</t>
        </is>
      </c>
      <c r="C13" s="31">
        <f>STDEV.S(E16:E1307)</f>
        <v/>
      </c>
      <c r="D13" s="31">
        <f>STDEV.S(G16:G1307)</f>
        <v/>
      </c>
      <c r="E13" s="32" t="inlineStr">
        <is>
          <t>STDEV.S(Tagesrenditen)</t>
        </is>
      </c>
    </row>
    <row r="14" ht="24" customHeight="1">
      <c r="B14" s="4" t="inlineStr">
        <is>
          <t>Sharpe Ratio (5J)</t>
        </is>
      </c>
      <c r="C14" s="33">
        <f>(C11-C12)/C13*SQRT($C$6)</f>
        <v/>
      </c>
      <c r="D14" s="33">
        <f>(D11-D12)/D13*SQRT($C$6)</f>
        <v/>
      </c>
      <c r="E14" s="32" t="inlineStr">
        <is>
          <t>[Ø Rendite − Tageszins] / Stdabw. × √252</t>
        </is>
      </c>
    </row>
    <row r="15">
      <c r="B15" s="17" t="inlineStr">
        <is>
          <t>Datum</t>
        </is>
      </c>
      <c r="C15" s="17" t="inlineStr">
        <is>
          <t>Ist-Portfoliowert CHF</t>
        </is>
      </c>
      <c r="D15" s="17" t="inlineStr">
        <is>
          <t>Ist Tagesrendite</t>
        </is>
      </c>
      <c r="E15" s="17" t="inlineStr">
        <is>
          <t>Ist Überschussrendite</t>
        </is>
      </c>
      <c r="F15" s="17" t="inlineStr">
        <is>
          <t>Vorschlag Portfoliowert CHF</t>
        </is>
      </c>
      <c r="G15" s="17" t="inlineStr">
        <is>
          <t>Vorschlag Tagesrendite</t>
        </is>
      </c>
      <c r="H15" s="17" t="inlineStr">
        <is>
          <t>Vorschlag Überschussrendite</t>
        </is>
      </c>
    </row>
    <row r="16">
      <c r="B16" s="34" t="inlineStr">
        <is>
          <t>2021-09-27</t>
        </is>
      </c>
      <c r="C16" s="35" t="n">
        <v>516908.9987739873</v>
      </c>
      <c r="D16" s="36" t="inlineStr"/>
      <c r="E16" s="36" t="inlineStr"/>
      <c r="F16" s="35" t="n">
        <v>444653.5125047302</v>
      </c>
      <c r="G16" s="36" t="inlineStr"/>
      <c r="H16" s="36" t="inlineStr"/>
    </row>
    <row r="17">
      <c r="B17" s="34" t="inlineStr">
        <is>
          <t>2021-09-28</t>
        </is>
      </c>
      <c r="C17" s="35" t="n">
        <v>509896.031722747</v>
      </c>
      <c r="D17" s="36">
        <f>IF(C16&gt;0,C17/C16-1,"")</f>
        <v/>
      </c>
      <c r="E17" s="36">
        <f>IF(D17="","",D17-$C$12)</f>
        <v/>
      </c>
      <c r="F17" s="35" t="n">
        <v>439457.2765638068</v>
      </c>
      <c r="G17" s="36">
        <f>IF(F16&gt;0,F17/F16-1,"")</f>
        <v/>
      </c>
      <c r="H17" s="36">
        <f>IF(G17="","",G17-$D$12)</f>
        <v/>
      </c>
    </row>
    <row r="18">
      <c r="B18" s="34" t="inlineStr">
        <is>
          <t>2021-09-29</t>
        </is>
      </c>
      <c r="C18" s="35" t="n">
        <v>511395.8800293606</v>
      </c>
      <c r="D18" s="36">
        <f>IF(C17&gt;0,C18/C17-1,"")</f>
        <v/>
      </c>
      <c r="E18" s="36">
        <f>IF(D18="","",D18-$C$12)</f>
        <v/>
      </c>
      <c r="F18" s="35" t="n">
        <v>440903.7646494578</v>
      </c>
      <c r="G18" s="36">
        <f>IF(F17&gt;0,F18/F17-1,"")</f>
        <v/>
      </c>
      <c r="H18" s="36">
        <f>IF(G18="","",G18-$D$12)</f>
        <v/>
      </c>
    </row>
    <row r="19">
      <c r="B19" s="34" t="inlineStr">
        <is>
          <t>2021-09-30</t>
        </is>
      </c>
      <c r="C19" s="35" t="n">
        <v>511509.263957615</v>
      </c>
      <c r="D19" s="36">
        <f>IF(C18&gt;0,C19/C18-1,"")</f>
        <v/>
      </c>
      <c r="E19" s="36">
        <f>IF(D19="","",D19-$C$12)</f>
        <v/>
      </c>
      <c r="F19" s="35" t="n">
        <v>440820.9716577943</v>
      </c>
      <c r="G19" s="36">
        <f>IF(F18&gt;0,F19/F18-1,"")</f>
        <v/>
      </c>
      <c r="H19" s="36">
        <f>IF(G19="","",G19-$D$12)</f>
        <v/>
      </c>
    </row>
    <row r="20">
      <c r="B20" s="34" t="inlineStr">
        <is>
          <t>2021-10-01</t>
        </is>
      </c>
      <c r="C20" s="35" t="n">
        <v>512597.5715627136</v>
      </c>
      <c r="D20" s="36">
        <f>IF(C19&gt;0,C20/C19-1,"")</f>
        <v/>
      </c>
      <c r="E20" s="36">
        <f>IF(D20="","",D20-$C$12)</f>
        <v/>
      </c>
      <c r="F20" s="35" t="n">
        <v>440893.534774399</v>
      </c>
      <c r="G20" s="36">
        <f>IF(F19&gt;0,F20/F19-1,"")</f>
        <v/>
      </c>
      <c r="H20" s="36">
        <f>IF(G20="","",G20-$D$12)</f>
        <v/>
      </c>
    </row>
    <row r="21">
      <c r="B21" s="34" t="inlineStr">
        <is>
          <t>2021-10-04</t>
        </is>
      </c>
      <c r="C21" s="35" t="n">
        <v>510700.0203849886</v>
      </c>
      <c r="D21" s="36">
        <f>IF(C20&gt;0,C21/C20-1,"")</f>
        <v/>
      </c>
      <c r="E21" s="36">
        <f>IF(D21="","",D21-$C$12)</f>
        <v/>
      </c>
      <c r="F21" s="35" t="n">
        <v>439471.4377648441</v>
      </c>
      <c r="G21" s="36">
        <f>IF(F20&gt;0,F21/F20-1,"")</f>
        <v/>
      </c>
      <c r="H21" s="36">
        <f>IF(G21="","",G21-$D$12)</f>
        <v/>
      </c>
    </row>
    <row r="22">
      <c r="B22" s="34" t="inlineStr">
        <is>
          <t>2021-10-05</t>
        </is>
      </c>
      <c r="C22" s="35" t="n">
        <v>513561.3818160463</v>
      </c>
      <c r="D22" s="36">
        <f>IF(C21&gt;0,C22/C21-1,"")</f>
        <v/>
      </c>
      <c r="E22" s="36">
        <f>IF(D22="","",D22-$C$12)</f>
        <v/>
      </c>
      <c r="F22" s="35" t="n">
        <v>441757.5765832553</v>
      </c>
      <c r="G22" s="36">
        <f>IF(F21&gt;0,F22/F21-1,"")</f>
        <v/>
      </c>
      <c r="H22" s="36">
        <f>IF(G22="","",G22-$D$12)</f>
        <v/>
      </c>
    </row>
    <row r="23">
      <c r="B23" s="34" t="inlineStr">
        <is>
          <t>2021-10-06</t>
        </is>
      </c>
      <c r="C23" s="35" t="n">
        <v>513523.0877364218</v>
      </c>
      <c r="D23" s="36">
        <f>IF(C22&gt;0,C23/C22-1,"")</f>
        <v/>
      </c>
      <c r="E23" s="36">
        <f>IF(D23="","",D23-$C$12)</f>
        <v/>
      </c>
      <c r="F23" s="35" t="n">
        <v>441715.3855740862</v>
      </c>
      <c r="G23" s="36">
        <f>IF(F22&gt;0,F23/F22-1,"")</f>
        <v/>
      </c>
      <c r="H23" s="36">
        <f>IF(G23="","",G23-$D$12)</f>
        <v/>
      </c>
    </row>
    <row r="24">
      <c r="B24" s="34" t="inlineStr">
        <is>
          <t>2021-10-07</t>
        </is>
      </c>
      <c r="C24" s="35" t="n">
        <v>517628.9338128714</v>
      </c>
      <c r="D24" s="36">
        <f>IF(C23&gt;0,C24/C23-1,"")</f>
        <v/>
      </c>
      <c r="E24" s="36">
        <f>IF(D24="","",D24-$C$12)</f>
        <v/>
      </c>
      <c r="F24" s="35" t="n">
        <v>445295.7205013234</v>
      </c>
      <c r="G24" s="36">
        <f>IF(F23&gt;0,F24/F23-1,"")</f>
        <v/>
      </c>
      <c r="H24" s="36">
        <f>IF(G24="","",G24-$D$12)</f>
        <v/>
      </c>
    </row>
    <row r="25">
      <c r="B25" s="34" t="inlineStr">
        <is>
          <t>2021-10-08</t>
        </is>
      </c>
      <c r="C25" s="35" t="n">
        <v>518387.872843505</v>
      </c>
      <c r="D25" s="36">
        <f>IF(C24&gt;0,C25/C24-1,"")</f>
        <v/>
      </c>
      <c r="E25" s="36">
        <f>IF(D25="","",D25-$C$12)</f>
        <v/>
      </c>
      <c r="F25" s="35" t="n">
        <v>445774.3532431587</v>
      </c>
      <c r="G25" s="36">
        <f>IF(F24&gt;0,F25/F24-1,"")</f>
        <v/>
      </c>
      <c r="H25" s="36">
        <f>IF(G25="","",G25-$D$12)</f>
        <v/>
      </c>
    </row>
    <row r="26">
      <c r="B26" s="34" t="inlineStr">
        <is>
          <t>2021-10-11</t>
        </is>
      </c>
      <c r="C26" s="35" t="n">
        <v>517901.0877504249</v>
      </c>
      <c r="D26" s="36">
        <f>IF(C25&gt;0,C26/C25-1,"")</f>
        <v/>
      </c>
      <c r="E26" s="36">
        <f>IF(D26="","",D26-$C$12)</f>
        <v/>
      </c>
      <c r="F26" s="35" t="n">
        <v>445613.9897374377</v>
      </c>
      <c r="G26" s="36">
        <f>IF(F25&gt;0,F26/F25-1,"")</f>
        <v/>
      </c>
      <c r="H26" s="36">
        <f>IF(G26="","",G26-$D$12)</f>
        <v/>
      </c>
    </row>
    <row r="27">
      <c r="B27" s="34" t="inlineStr">
        <is>
          <t>2021-10-12</t>
        </is>
      </c>
      <c r="C27" s="35" t="n">
        <v>517514.8704921146</v>
      </c>
      <c r="D27" s="36">
        <f>IF(C26&gt;0,C27/C26-1,"")</f>
        <v/>
      </c>
      <c r="E27" s="36">
        <f>IF(D27="","",D27-$C$12)</f>
        <v/>
      </c>
      <c r="F27" s="35" t="n">
        <v>445367.1891892527</v>
      </c>
      <c r="G27" s="36">
        <f>IF(F26&gt;0,F27/F26-1,"")</f>
        <v/>
      </c>
      <c r="H27" s="36">
        <f>IF(G27="","",G27-$D$12)</f>
        <v/>
      </c>
    </row>
    <row r="28">
      <c r="B28" s="34" t="inlineStr">
        <is>
          <t>2021-10-13</t>
        </is>
      </c>
      <c r="C28" s="35" t="n">
        <v>518898.1250489308</v>
      </c>
      <c r="D28" s="36">
        <f>IF(C27&gt;0,C28/C27-1,"")</f>
        <v/>
      </c>
      <c r="E28" s="36">
        <f>IF(D28="","",D28-$C$12)</f>
        <v/>
      </c>
      <c r="F28" s="35" t="n">
        <v>446368.2438446711</v>
      </c>
      <c r="G28" s="36">
        <f>IF(F27&gt;0,F28/F27-1,"")</f>
        <v/>
      </c>
      <c r="H28" s="36">
        <f>IF(G28="","",G28-$D$12)</f>
        <v/>
      </c>
    </row>
    <row r="29">
      <c r="B29" s="34" t="inlineStr">
        <is>
          <t>2021-10-14</t>
        </is>
      </c>
      <c r="C29" s="35" t="n">
        <v>523246.3999062723</v>
      </c>
      <c r="D29" s="36">
        <f>IF(C28&gt;0,C29/C28-1,"")</f>
        <v/>
      </c>
      <c r="E29" s="36">
        <f>IF(D29="","",D29-$C$12)</f>
        <v/>
      </c>
      <c r="F29" s="35" t="n">
        <v>448936.9588258513</v>
      </c>
      <c r="G29" s="36">
        <f>IF(F28&gt;0,F29/F28-1,"")</f>
        <v/>
      </c>
      <c r="H29" s="36">
        <f>IF(G29="","",G29-$D$12)</f>
        <v/>
      </c>
    </row>
    <row r="30">
      <c r="B30" s="34" t="inlineStr">
        <is>
          <t>2021-10-15</t>
        </is>
      </c>
      <c r="C30" s="35" t="n">
        <v>524919.8098363649</v>
      </c>
      <c r="D30" s="36">
        <f>IF(C29&gt;0,C30/C29-1,"")</f>
        <v/>
      </c>
      <c r="E30" s="36">
        <f>IF(D30="","",D30-$C$12)</f>
        <v/>
      </c>
      <c r="F30" s="35" t="n">
        <v>450268.3864210344</v>
      </c>
      <c r="G30" s="36">
        <f>IF(F29&gt;0,F30/F29-1,"")</f>
        <v/>
      </c>
      <c r="H30" s="36">
        <f>IF(G30="","",G30-$D$12)</f>
        <v/>
      </c>
    </row>
    <row r="31">
      <c r="B31" s="34" t="inlineStr">
        <is>
          <t>2021-10-18</t>
        </is>
      </c>
      <c r="C31" s="35" t="n">
        <v>526311.2282633707</v>
      </c>
      <c r="D31" s="36">
        <f>IF(C30&gt;0,C31/C30-1,"")</f>
        <v/>
      </c>
      <c r="E31" s="36">
        <f>IF(D31="","",D31-$C$12)</f>
        <v/>
      </c>
      <c r="F31" s="35" t="n">
        <v>450913.1539818004</v>
      </c>
      <c r="G31" s="36">
        <f>IF(F30&gt;0,F31/F30-1,"")</f>
        <v/>
      </c>
      <c r="H31" s="36">
        <f>IF(G31="","",G31-$D$12)</f>
        <v/>
      </c>
    </row>
    <row r="32">
      <c r="B32" s="34" t="inlineStr">
        <is>
          <t>2021-10-19</t>
        </is>
      </c>
      <c r="C32" s="35" t="n">
        <v>526446.548634097</v>
      </c>
      <c r="D32" s="36">
        <f>IF(C31&gt;0,C32/C31-1,"")</f>
        <v/>
      </c>
      <c r="E32" s="36">
        <f>IF(D32="","",D32-$C$12)</f>
        <v/>
      </c>
      <c r="F32" s="35" t="n">
        <v>451261.034054469</v>
      </c>
      <c r="G32" s="36">
        <f>IF(F31&gt;0,F32/F31-1,"")</f>
        <v/>
      </c>
      <c r="H32" s="36">
        <f>IF(G32="","",G32-$D$12)</f>
        <v/>
      </c>
    </row>
    <row r="33">
      <c r="B33" s="34" t="inlineStr">
        <is>
          <t>2021-10-20</t>
        </is>
      </c>
      <c r="C33" s="35" t="n">
        <v>526842.1055057229</v>
      </c>
      <c r="D33" s="36">
        <f>IF(C32&gt;0,C33/C32-1,"")</f>
        <v/>
      </c>
      <c r="E33" s="36">
        <f>IF(D33="","",D33-$C$12)</f>
        <v/>
      </c>
      <c r="F33" s="35" t="n">
        <v>451877.3073577426</v>
      </c>
      <c r="G33" s="36">
        <f>IF(F32&gt;0,F33/F32-1,"")</f>
        <v/>
      </c>
      <c r="H33" s="36">
        <f>IF(G33="","",G33-$D$12)</f>
        <v/>
      </c>
    </row>
    <row r="34">
      <c r="B34" s="34" t="inlineStr">
        <is>
          <t>2021-10-21</t>
        </is>
      </c>
      <c r="C34" s="35" t="n">
        <v>526113.6792714105</v>
      </c>
      <c r="D34" s="36">
        <f>IF(C33&gt;0,C34/C33-1,"")</f>
        <v/>
      </c>
      <c r="E34" s="36">
        <f>IF(D34="","",D34-$C$12)</f>
        <v/>
      </c>
      <c r="F34" s="35" t="n">
        <v>450960.2521605389</v>
      </c>
      <c r="G34" s="36">
        <f>IF(F33&gt;0,F34/F33-1,"")</f>
        <v/>
      </c>
      <c r="H34" s="36">
        <f>IF(G34="","",G34-$D$12)</f>
        <v/>
      </c>
    </row>
    <row r="35">
      <c r="B35" s="34" t="inlineStr">
        <is>
          <t>2021-10-22</t>
        </is>
      </c>
      <c r="C35" s="35" t="n">
        <v>523360.985680191</v>
      </c>
      <c r="D35" s="36">
        <f>IF(C34&gt;0,C35/C34-1,"")</f>
        <v/>
      </c>
      <c r="E35" s="36">
        <f>IF(D35="","",D35-$C$12)</f>
        <v/>
      </c>
      <c r="F35" s="35" t="n">
        <v>449688.8308325034</v>
      </c>
      <c r="G35" s="36">
        <f>IF(F34&gt;0,F35/F34-1,"")</f>
        <v/>
      </c>
      <c r="H35" s="36">
        <f>IF(G35="","",G35-$D$12)</f>
        <v/>
      </c>
    </row>
    <row r="36">
      <c r="B36" s="34" t="inlineStr">
        <is>
          <t>2021-10-25</t>
        </is>
      </c>
      <c r="C36" s="35" t="n">
        <v>524808.4347185038</v>
      </c>
      <c r="D36" s="36">
        <f>IF(C35&gt;0,C36/C35-1,"")</f>
        <v/>
      </c>
      <c r="E36" s="36">
        <f>IF(D36="","",D36-$C$12)</f>
        <v/>
      </c>
      <c r="F36" s="35" t="n">
        <v>450401.7806292001</v>
      </c>
      <c r="G36" s="36">
        <f>IF(F35&gt;0,F36/F35-1,"")</f>
        <v/>
      </c>
      <c r="H36" s="36">
        <f>IF(G36="","",G36-$D$12)</f>
        <v/>
      </c>
    </row>
    <row r="37">
      <c r="B37" s="34" t="inlineStr">
        <is>
          <t>2021-10-26</t>
        </is>
      </c>
      <c r="C37" s="35" t="n">
        <v>527713.4272106934</v>
      </c>
      <c r="D37" s="36">
        <f>IF(C36&gt;0,C37/C36-1,"")</f>
        <v/>
      </c>
      <c r="E37" s="36">
        <f>IF(D37="","",D37-$C$12)</f>
        <v/>
      </c>
      <c r="F37" s="35" t="n">
        <v>452047.5305935212</v>
      </c>
      <c r="G37" s="36">
        <f>IF(F36&gt;0,F37/F36-1,"")</f>
        <v/>
      </c>
      <c r="H37" s="36">
        <f>IF(G37="","",G37-$D$12)</f>
        <v/>
      </c>
    </row>
    <row r="38">
      <c r="B38" s="34" t="inlineStr">
        <is>
          <t>2021-10-27</t>
        </is>
      </c>
      <c r="C38" s="35" t="n">
        <v>529935.2865035388</v>
      </c>
      <c r="D38" s="36">
        <f>IF(C37&gt;0,C38/C37-1,"")</f>
        <v/>
      </c>
      <c r="E38" s="36">
        <f>IF(D38="","",D38-$C$12)</f>
        <v/>
      </c>
      <c r="F38" s="35" t="n">
        <v>452499.8305375304</v>
      </c>
      <c r="G38" s="36">
        <f>IF(F37&gt;0,F38/F37-1,"")</f>
        <v/>
      </c>
      <c r="H38" s="36">
        <f>IF(G38="","",G38-$D$12)</f>
        <v/>
      </c>
    </row>
    <row r="39">
      <c r="B39" s="34" t="inlineStr">
        <is>
          <t>2021-10-28</t>
        </is>
      </c>
      <c r="C39" s="35" t="n">
        <v>528886.3247313832</v>
      </c>
      <c r="D39" s="36">
        <f>IF(C38&gt;0,C39/C38-1,"")</f>
        <v/>
      </c>
      <c r="E39" s="36">
        <f>IF(D39="","",D39-$C$12)</f>
        <v/>
      </c>
      <c r="F39" s="35" t="n">
        <v>452229.5116907099</v>
      </c>
      <c r="G39" s="36">
        <f>IF(F38&gt;0,F39/F38-1,"")</f>
        <v/>
      </c>
      <c r="H39" s="36">
        <f>IF(G39="","",G39-$D$12)</f>
        <v/>
      </c>
    </row>
    <row r="40">
      <c r="B40" s="34" t="inlineStr">
        <is>
          <t>2021-10-29</t>
        </is>
      </c>
      <c r="C40" s="35" t="n">
        <v>531130.2581689482</v>
      </c>
      <c r="D40" s="36">
        <f>IF(C39&gt;0,C40/C39-1,"")</f>
        <v/>
      </c>
      <c r="E40" s="36">
        <f>IF(D40="","",D40-$C$12)</f>
        <v/>
      </c>
      <c r="F40" s="35" t="n">
        <v>453097.4263998483</v>
      </c>
      <c r="G40" s="36">
        <f>IF(F39&gt;0,F40/F39-1,"")</f>
        <v/>
      </c>
      <c r="H40" s="36">
        <f>IF(G40="","",G40-$D$12)</f>
        <v/>
      </c>
    </row>
    <row r="41">
      <c r="B41" s="34" t="inlineStr">
        <is>
          <t>2021-11-01</t>
        </is>
      </c>
      <c r="C41" s="35" t="n">
        <v>528970.0026700881</v>
      </c>
      <c r="D41" s="36">
        <f>IF(C40&gt;0,C41/C40-1,"")</f>
        <v/>
      </c>
      <c r="E41" s="36">
        <f>IF(D41="","",D41-$C$12)</f>
        <v/>
      </c>
      <c r="F41" s="35" t="n">
        <v>452684.5301634063</v>
      </c>
      <c r="G41" s="36">
        <f>IF(F40&gt;0,F41/F40-1,"")</f>
        <v/>
      </c>
      <c r="H41" s="36">
        <f>IF(G41="","",G41-$D$12)</f>
        <v/>
      </c>
    </row>
    <row r="42">
      <c r="B42" s="34" t="inlineStr">
        <is>
          <t>2021-11-02</t>
        </is>
      </c>
      <c r="C42" s="35" t="n">
        <v>532881.4754550443</v>
      </c>
      <c r="D42" s="36">
        <f>IF(C41&gt;0,C42/C41-1,"")</f>
        <v/>
      </c>
      <c r="E42" s="36">
        <f>IF(D42="","",D42-$C$12)</f>
        <v/>
      </c>
      <c r="F42" s="35" t="n">
        <v>455508.4581289266</v>
      </c>
      <c r="G42" s="36">
        <f>IF(F41&gt;0,F42/F41-1,"")</f>
        <v/>
      </c>
      <c r="H42" s="36">
        <f>IF(G42="","",G42-$D$12)</f>
        <v/>
      </c>
    </row>
    <row r="43">
      <c r="B43" s="34" t="inlineStr">
        <is>
          <t>2021-11-03</t>
        </is>
      </c>
      <c r="C43" s="35" t="n">
        <v>535035.1280915653</v>
      </c>
      <c r="D43" s="36">
        <f>IF(C42&gt;0,C43/C42-1,"")</f>
        <v/>
      </c>
      <c r="E43" s="36">
        <f>IF(D43="","",D43-$C$12)</f>
        <v/>
      </c>
      <c r="F43" s="35" t="n">
        <v>456826.6005772948</v>
      </c>
      <c r="G43" s="36">
        <f>IF(F42&gt;0,F43/F42-1,"")</f>
        <v/>
      </c>
      <c r="H43" s="36">
        <f>IF(G43="","",G43-$D$12)</f>
        <v/>
      </c>
    </row>
    <row r="44">
      <c r="B44" s="34" t="inlineStr">
        <is>
          <t>2021-11-04</t>
        </is>
      </c>
      <c r="C44" s="35" t="n">
        <v>539648.8630139783</v>
      </c>
      <c r="D44" s="36">
        <f>IF(C43&gt;0,C44/C43-1,"")</f>
        <v/>
      </c>
      <c r="E44" s="36">
        <f>IF(D44="","",D44-$C$12)</f>
        <v/>
      </c>
      <c r="F44" s="35" t="n">
        <v>459066.8286598566</v>
      </c>
      <c r="G44" s="36">
        <f>IF(F43&gt;0,F44/F43-1,"")</f>
        <v/>
      </c>
      <c r="H44" s="36">
        <f>IF(G44="","",G44-$D$12)</f>
        <v/>
      </c>
    </row>
    <row r="45">
      <c r="B45" s="34" t="inlineStr">
        <is>
          <t>2021-11-05</t>
        </is>
      </c>
      <c r="C45" s="35" t="n">
        <v>538406.6498367183</v>
      </c>
      <c r="D45" s="36">
        <f>IF(C44&gt;0,C45/C44-1,"")</f>
        <v/>
      </c>
      <c r="E45" s="36">
        <f>IF(D45="","",D45-$C$12)</f>
        <v/>
      </c>
      <c r="F45" s="35" t="n">
        <v>457772.4846341473</v>
      </c>
      <c r="G45" s="36">
        <f>IF(F44&gt;0,F45/F44-1,"")</f>
        <v/>
      </c>
      <c r="H45" s="36">
        <f>IF(G45="","",G45-$D$12)</f>
        <v/>
      </c>
    </row>
    <row r="46">
      <c r="B46" s="34" t="inlineStr">
        <is>
          <t>2021-11-08</t>
        </is>
      </c>
      <c r="C46" s="35" t="n">
        <v>540406.5943087243</v>
      </c>
      <c r="D46" s="36">
        <f>IF(C45&gt;0,C46/C45-1,"")</f>
        <v/>
      </c>
      <c r="E46" s="36">
        <f>IF(D46="","",D46-$C$12)</f>
        <v/>
      </c>
      <c r="F46" s="35" t="n">
        <v>459365.7298455216</v>
      </c>
      <c r="G46" s="36">
        <f>IF(F45&gt;0,F46/F45-1,"")</f>
        <v/>
      </c>
      <c r="H46" s="36">
        <f>IF(G46="","",G46-$D$12)</f>
        <v/>
      </c>
    </row>
    <row r="47">
      <c r="B47" s="34" t="inlineStr">
        <is>
          <t>2021-11-09</t>
        </is>
      </c>
      <c r="C47" s="35" t="n">
        <v>539996.2270390952</v>
      </c>
      <c r="D47" s="36">
        <f>IF(C46&gt;0,C47/C46-1,"")</f>
        <v/>
      </c>
      <c r="E47" s="36">
        <f>IF(D47="","",D47-$C$12)</f>
        <v/>
      </c>
      <c r="F47" s="35" t="n">
        <v>459333.6678087719</v>
      </c>
      <c r="G47" s="36">
        <f>IF(F46&gt;0,F47/F46-1,"")</f>
        <v/>
      </c>
      <c r="H47" s="36">
        <f>IF(G47="","",G47-$D$12)</f>
        <v/>
      </c>
    </row>
    <row r="48">
      <c r="B48" s="34" t="inlineStr">
        <is>
          <t>2021-11-10</t>
        </is>
      </c>
      <c r="C48" s="35" t="n">
        <v>538800.0021715703</v>
      </c>
      <c r="D48" s="36">
        <f>IF(C47&gt;0,C48/C47-1,"")</f>
        <v/>
      </c>
      <c r="E48" s="36">
        <f>IF(D48="","",D48-$C$12)</f>
        <v/>
      </c>
      <c r="F48" s="35" t="n">
        <v>458619.8183498469</v>
      </c>
      <c r="G48" s="36">
        <f>IF(F47&gt;0,F48/F47-1,"")</f>
        <v/>
      </c>
      <c r="H48" s="36">
        <f>IF(G48="","",G48-$D$12)</f>
        <v/>
      </c>
    </row>
    <row r="49">
      <c r="B49" s="34" t="inlineStr">
        <is>
          <t>2021-11-11</t>
        </is>
      </c>
      <c r="C49" s="35" t="n">
        <v>536256.8214582757</v>
      </c>
      <c r="D49" s="36">
        <f>IF(C48&gt;0,C49/C48-1,"")</f>
        <v/>
      </c>
      <c r="E49" s="36">
        <f>IF(D49="","",D49-$C$12)</f>
        <v/>
      </c>
      <c r="F49" s="35" t="n">
        <v>457071.4760760735</v>
      </c>
      <c r="G49" s="36">
        <f>IF(F48&gt;0,F49/F48-1,"")</f>
        <v/>
      </c>
      <c r="H49" s="36">
        <f>IF(G49="","",G49-$D$12)</f>
        <v/>
      </c>
    </row>
    <row r="50">
      <c r="B50" s="34" t="inlineStr">
        <is>
          <t>2021-11-12</t>
        </is>
      </c>
      <c r="C50" s="35" t="n">
        <v>538209.9726201958</v>
      </c>
      <c r="D50" s="36">
        <f>IF(C49&gt;0,C50/C49-1,"")</f>
        <v/>
      </c>
      <c r="E50" s="36">
        <f>IF(D50="","",D50-$C$12)</f>
        <v/>
      </c>
      <c r="F50" s="35" t="n">
        <v>458668.2057820901</v>
      </c>
      <c r="G50" s="36">
        <f>IF(F49&gt;0,F50/F49-1,"")</f>
        <v/>
      </c>
      <c r="H50" s="36">
        <f>IF(G50="","",G50-$D$12)</f>
        <v/>
      </c>
    </row>
    <row r="51">
      <c r="B51" s="34" t="inlineStr">
        <is>
          <t>2021-11-15</t>
        </is>
      </c>
      <c r="C51" s="35" t="n">
        <v>538026.6230084918</v>
      </c>
      <c r="D51" s="36">
        <f>IF(C50&gt;0,C51/C50-1,"")</f>
        <v/>
      </c>
      <c r="E51" s="36">
        <f>IF(D51="","",D51-$C$12)</f>
        <v/>
      </c>
      <c r="F51" s="35" t="n">
        <v>458396.6616248325</v>
      </c>
      <c r="G51" s="36">
        <f>IF(F50&gt;0,F51/F50-1,"")</f>
        <v/>
      </c>
      <c r="H51" s="36">
        <f>IF(G51="","",G51-$D$12)</f>
        <v/>
      </c>
    </row>
    <row r="52">
      <c r="B52" s="34" t="inlineStr">
        <is>
          <t>2021-11-16</t>
        </is>
      </c>
      <c r="C52" s="35" t="n">
        <v>538410.2151544162</v>
      </c>
      <c r="D52" s="36">
        <f>IF(C51&gt;0,C52/C51-1,"")</f>
        <v/>
      </c>
      <c r="E52" s="36">
        <f>IF(D52="","",D52-$C$12)</f>
        <v/>
      </c>
      <c r="F52" s="35" t="n">
        <v>458199.3651261837</v>
      </c>
      <c r="G52" s="36">
        <f>IF(F51&gt;0,F52/F51-1,"")</f>
        <v/>
      </c>
      <c r="H52" s="36">
        <f>IF(G52="","",G52-$D$12)</f>
        <v/>
      </c>
    </row>
    <row r="53">
      <c r="B53" s="34" t="inlineStr">
        <is>
          <t>2021-11-17</t>
        </is>
      </c>
      <c r="C53" s="35" t="n">
        <v>538255.7977839125</v>
      </c>
      <c r="D53" s="36">
        <f>IF(C52&gt;0,C53/C52-1,"")</f>
        <v/>
      </c>
      <c r="E53" s="36">
        <f>IF(D53="","",D53-$C$12)</f>
        <v/>
      </c>
      <c r="F53" s="35" t="n">
        <v>457963.2674051067</v>
      </c>
      <c r="G53" s="36">
        <f>IF(F52&gt;0,F53/F52-1,"")</f>
        <v/>
      </c>
      <c r="H53" s="36">
        <f>IF(G53="","",G53-$D$12)</f>
        <v/>
      </c>
    </row>
    <row r="54">
      <c r="B54" s="34" t="inlineStr">
        <is>
          <t>2021-11-18</t>
        </is>
      </c>
      <c r="C54" s="35" t="n">
        <v>537960.5575332299</v>
      </c>
      <c r="D54" s="36">
        <f>IF(C53&gt;0,C54/C53-1,"")</f>
        <v/>
      </c>
      <c r="E54" s="36">
        <f>IF(D54="","",D54-$C$12)</f>
        <v/>
      </c>
      <c r="F54" s="35" t="n">
        <v>456970.4016001592</v>
      </c>
      <c r="G54" s="36">
        <f>IF(F53&gt;0,F54/F53-1,"")</f>
        <v/>
      </c>
      <c r="H54" s="36">
        <f>IF(G54="","",G54-$D$12)</f>
        <v/>
      </c>
    </row>
    <row r="55">
      <c r="B55" s="34" t="inlineStr">
        <is>
          <t>2021-11-19</t>
        </is>
      </c>
      <c r="C55" s="35" t="n">
        <v>536953.3459707493</v>
      </c>
      <c r="D55" s="36">
        <f>IF(C54&gt;0,C55/C54-1,"")</f>
        <v/>
      </c>
      <c r="E55" s="36">
        <f>IF(D55="","",D55-$C$12)</f>
        <v/>
      </c>
      <c r="F55" s="35" t="n">
        <v>456140.9892051234</v>
      </c>
      <c r="G55" s="36">
        <f>IF(F54&gt;0,F55/F54-1,"")</f>
        <v/>
      </c>
      <c r="H55" s="36">
        <f>IF(G55="","",G55-$D$12)</f>
        <v/>
      </c>
    </row>
    <row r="56">
      <c r="B56" s="34" t="inlineStr">
        <is>
          <t>2021-11-22</t>
        </is>
      </c>
      <c r="C56" s="35" t="n">
        <v>534353.2902991641</v>
      </c>
      <c r="D56" s="36">
        <f>IF(C55&gt;0,C56/C55-1,"")</f>
        <v/>
      </c>
      <c r="E56" s="36">
        <f>IF(D56="","",D56-$C$12)</f>
        <v/>
      </c>
      <c r="F56" s="35" t="n">
        <v>454631.2515254055</v>
      </c>
      <c r="G56" s="36">
        <f>IF(F55&gt;0,F56/F55-1,"")</f>
        <v/>
      </c>
      <c r="H56" s="36">
        <f>IF(G56="","",G56-$D$12)</f>
        <v/>
      </c>
    </row>
    <row r="57">
      <c r="B57" s="34" t="inlineStr">
        <is>
          <t>2021-11-23</t>
        </is>
      </c>
      <c r="C57" s="35" t="n">
        <v>532285.4729294369</v>
      </c>
      <c r="D57" s="36">
        <f>IF(C56&gt;0,C57/C56-1,"")</f>
        <v/>
      </c>
      <c r="E57" s="36">
        <f>IF(D57="","",D57-$C$12)</f>
        <v/>
      </c>
      <c r="F57" s="35" t="n">
        <v>452206.7386489144</v>
      </c>
      <c r="G57" s="36">
        <f>IF(F56&gt;0,F57/F56-1,"")</f>
        <v/>
      </c>
      <c r="H57" s="36">
        <f>IF(G57="","",G57-$D$12)</f>
        <v/>
      </c>
    </row>
    <row r="58">
      <c r="B58" s="34" t="inlineStr">
        <is>
          <t>2021-11-24</t>
        </is>
      </c>
      <c r="C58" s="35" t="n">
        <v>533905.521524416</v>
      </c>
      <c r="D58" s="36">
        <f>IF(C57&gt;0,C58/C57-1,"")</f>
        <v/>
      </c>
      <c r="E58" s="36">
        <f>IF(D58="","",D58-$C$12)</f>
        <v/>
      </c>
      <c r="F58" s="35" t="n">
        <v>453248.6290088389</v>
      </c>
      <c r="G58" s="36">
        <f>IF(F57&gt;0,F58/F57-1,"")</f>
        <v/>
      </c>
      <c r="H58" s="36">
        <f>IF(G58="","",G58-$D$12)</f>
        <v/>
      </c>
    </row>
    <row r="59">
      <c r="B59" s="34" t="inlineStr">
        <is>
          <t>2021-11-25</t>
        </is>
      </c>
      <c r="C59" s="35" t="n">
        <v>534850.0739764136</v>
      </c>
      <c r="D59" s="36">
        <f>IF(C58&gt;0,C59/C58-1,"")</f>
        <v/>
      </c>
      <c r="E59" s="36">
        <f>IF(D59="","",D59-$C$12)</f>
        <v/>
      </c>
      <c r="F59" s="35" t="n">
        <v>454095.5848119913</v>
      </c>
      <c r="G59" s="36">
        <f>IF(F58&gt;0,F59/F58-1,"")</f>
        <v/>
      </c>
      <c r="H59" s="36">
        <f>IF(G59="","",G59-$D$12)</f>
        <v/>
      </c>
    </row>
    <row r="60">
      <c r="B60" s="34" t="inlineStr">
        <is>
          <t>2021-11-26</t>
        </is>
      </c>
      <c r="C60" s="35" t="n">
        <v>523979.4951490135</v>
      </c>
      <c r="D60" s="36">
        <f>IF(C59&gt;0,C60/C59-1,"")</f>
        <v/>
      </c>
      <c r="E60" s="36">
        <f>IF(D60="","",D60-$C$12)</f>
        <v/>
      </c>
      <c r="F60" s="35" t="n">
        <v>446466.2872048371</v>
      </c>
      <c r="G60" s="36">
        <f>IF(F59&gt;0,F60/F59-1,"")</f>
        <v/>
      </c>
      <c r="H60" s="36">
        <f>IF(G60="","",G60-$D$12)</f>
        <v/>
      </c>
    </row>
    <row r="61">
      <c r="B61" s="34" t="inlineStr">
        <is>
          <t>2021-11-29</t>
        </is>
      </c>
      <c r="C61" s="35" t="n">
        <v>527490.6470377048</v>
      </c>
      <c r="D61" s="36">
        <f>IF(C60&gt;0,C61/C60-1,"")</f>
        <v/>
      </c>
      <c r="E61" s="36">
        <f>IF(D61="","",D61-$C$12)</f>
        <v/>
      </c>
      <c r="F61" s="35" t="n">
        <v>448306.0168162415</v>
      </c>
      <c r="G61" s="36">
        <f>IF(F60&gt;0,F61/F60-1,"")</f>
        <v/>
      </c>
      <c r="H61" s="36">
        <f>IF(G61="","",G61-$D$12)</f>
        <v/>
      </c>
    </row>
    <row r="62">
      <c r="B62" s="34" t="inlineStr">
        <is>
          <t>2021-11-30</t>
        </is>
      </c>
      <c r="C62" s="35" t="n">
        <v>523023.2982177548</v>
      </c>
      <c r="D62" s="36">
        <f>IF(C61&gt;0,C62/C61-1,"")</f>
        <v/>
      </c>
      <c r="E62" s="36">
        <f>IF(D62="","",D62-$C$12)</f>
        <v/>
      </c>
      <c r="F62" s="35" t="n">
        <v>445672.7389930717</v>
      </c>
      <c r="G62" s="36">
        <f>IF(F61&gt;0,F62/F61-1,"")</f>
        <v/>
      </c>
      <c r="H62" s="36">
        <f>IF(G62="","",G62-$D$12)</f>
        <v/>
      </c>
    </row>
    <row r="63">
      <c r="B63" s="34" t="inlineStr">
        <is>
          <t>2021-12-01</t>
        </is>
      </c>
      <c r="C63" s="35" t="n">
        <v>524185.3240655195</v>
      </c>
      <c r="D63" s="36">
        <f>IF(C62&gt;0,C63/C62-1,"")</f>
        <v/>
      </c>
      <c r="E63" s="36">
        <f>IF(D63="","",D63-$C$12)</f>
        <v/>
      </c>
      <c r="F63" s="35" t="n">
        <v>446794.8511576911</v>
      </c>
      <c r="G63" s="36">
        <f>IF(F62&gt;0,F63/F62-1,"")</f>
        <v/>
      </c>
      <c r="H63" s="36">
        <f>IF(G63="","",G63-$D$12)</f>
        <v/>
      </c>
    </row>
    <row r="64">
      <c r="B64" s="34" t="inlineStr">
        <is>
          <t>2021-12-02</t>
        </is>
      </c>
      <c r="C64" s="35" t="n">
        <v>523695.6930389747</v>
      </c>
      <c r="D64" s="36">
        <f>IF(C63&gt;0,C64/C63-1,"")</f>
        <v/>
      </c>
      <c r="E64" s="36">
        <f>IF(D64="","",D64-$C$12)</f>
        <v/>
      </c>
      <c r="F64" s="35" t="n">
        <v>445901.6174732698</v>
      </c>
      <c r="G64" s="36">
        <f>IF(F63&gt;0,F64/F63-1,"")</f>
        <v/>
      </c>
      <c r="H64" s="36">
        <f>IF(G64="","",G64-$D$12)</f>
        <v/>
      </c>
    </row>
    <row r="65">
      <c r="B65" s="34" t="inlineStr">
        <is>
          <t>2021-12-03</t>
        </is>
      </c>
      <c r="C65" s="35" t="n">
        <v>522291.4807162106</v>
      </c>
      <c r="D65" s="36">
        <f>IF(C64&gt;0,C65/C64-1,"")</f>
        <v/>
      </c>
      <c r="E65" s="36">
        <f>IF(D65="","",D65-$C$12)</f>
        <v/>
      </c>
      <c r="F65" s="35" t="n">
        <v>444738.0033650312</v>
      </c>
      <c r="G65" s="36">
        <f>IF(F64&gt;0,F65/F64-1,"")</f>
        <v/>
      </c>
      <c r="H65" s="36">
        <f>IF(G65="","",G65-$D$12)</f>
        <v/>
      </c>
    </row>
    <row r="66">
      <c r="B66" s="34" t="inlineStr">
        <is>
          <t>2021-12-06</t>
        </is>
      </c>
      <c r="C66" s="35" t="n">
        <v>525992.9385473566</v>
      </c>
      <c r="D66" s="36">
        <f>IF(C65&gt;0,C66/C65-1,"")</f>
        <v/>
      </c>
      <c r="E66" s="36">
        <f>IF(D66="","",D66-$C$12)</f>
        <v/>
      </c>
      <c r="F66" s="35" t="n">
        <v>447907.2373395483</v>
      </c>
      <c r="G66" s="36">
        <f>IF(F65&gt;0,F66/F65-1,"")</f>
        <v/>
      </c>
      <c r="H66" s="36">
        <f>IF(G66="","",G66-$D$12)</f>
        <v/>
      </c>
    </row>
    <row r="67">
      <c r="B67" s="34" t="inlineStr">
        <is>
          <t>2021-12-07</t>
        </is>
      </c>
      <c r="C67" s="35" t="n">
        <v>533194.1620577723</v>
      </c>
      <c r="D67" s="36">
        <f>IF(C66&gt;0,C67/C66-1,"")</f>
        <v/>
      </c>
      <c r="E67" s="36">
        <f>IF(D67="","",D67-$C$12)</f>
        <v/>
      </c>
      <c r="F67" s="35" t="n">
        <v>453012.2520882856</v>
      </c>
      <c r="G67" s="36">
        <f>IF(F66&gt;0,F67/F66-1,"")</f>
        <v/>
      </c>
      <c r="H67" s="36">
        <f>IF(G67="","",G67-$D$12)</f>
        <v/>
      </c>
    </row>
    <row r="68">
      <c r="B68" s="34" t="inlineStr">
        <is>
          <t>2021-12-08</t>
        </is>
      </c>
      <c r="C68" s="35" t="n">
        <v>533957.7340550805</v>
      </c>
      <c r="D68" s="36">
        <f>IF(C67&gt;0,C68/C67-1,"")</f>
        <v/>
      </c>
      <c r="E68" s="36">
        <f>IF(D68="","",D68-$C$12)</f>
        <v/>
      </c>
      <c r="F68" s="35" t="n">
        <v>453629.0229167877</v>
      </c>
      <c r="G68" s="36">
        <f>IF(F67&gt;0,F68/F67-1,"")</f>
        <v/>
      </c>
      <c r="H68" s="36">
        <f>IF(G68="","",G68-$D$12)</f>
        <v/>
      </c>
    </row>
    <row r="69">
      <c r="B69" s="34" t="inlineStr">
        <is>
          <t>2021-12-09</t>
        </is>
      </c>
      <c r="C69" s="35" t="n">
        <v>533314.4139280342</v>
      </c>
      <c r="D69" s="36">
        <f>IF(C68&gt;0,C69/C68-1,"")</f>
        <v/>
      </c>
      <c r="E69" s="36">
        <f>IF(D69="","",D69-$C$12)</f>
        <v/>
      </c>
      <c r="F69" s="35" t="n">
        <v>453419.5060483283</v>
      </c>
      <c r="G69" s="36">
        <f>IF(F68&gt;0,F69/F68-1,"")</f>
        <v/>
      </c>
      <c r="H69" s="36">
        <f>IF(G69="","",G69-$D$12)</f>
        <v/>
      </c>
    </row>
    <row r="70">
      <c r="B70" s="34" t="inlineStr">
        <is>
          <t>2021-12-10</t>
        </is>
      </c>
      <c r="C70" s="35" t="n">
        <v>531714.7316855395</v>
      </c>
      <c r="D70" s="36">
        <f>IF(C69&gt;0,C70/C69-1,"")</f>
        <v/>
      </c>
      <c r="E70" s="36">
        <f>IF(D70="","",D70-$C$12)</f>
        <v/>
      </c>
      <c r="F70" s="35" t="n">
        <v>452205.6327369724</v>
      </c>
      <c r="G70" s="36">
        <f>IF(F69&gt;0,F70/F69-1,"")</f>
        <v/>
      </c>
      <c r="H70" s="36">
        <f>IF(G70="","",G70-$D$12)</f>
        <v/>
      </c>
    </row>
    <row r="71">
      <c r="B71" s="34" t="inlineStr">
        <is>
          <t>2021-12-13</t>
        </is>
      </c>
      <c r="C71" s="35" t="n">
        <v>528543.2997638293</v>
      </c>
      <c r="D71" s="36">
        <f>IF(C70&gt;0,C71/C70-1,"")</f>
        <v/>
      </c>
      <c r="E71" s="36">
        <f>IF(D71="","",D71-$C$12)</f>
        <v/>
      </c>
      <c r="F71" s="35" t="n">
        <v>450443.4861308574</v>
      </c>
      <c r="G71" s="36">
        <f>IF(F70&gt;0,F71/F70-1,"")</f>
        <v/>
      </c>
      <c r="H71" s="36">
        <f>IF(G71="","",G71-$D$12)</f>
        <v/>
      </c>
    </row>
    <row r="72">
      <c r="B72" s="34" t="inlineStr">
        <is>
          <t>2021-12-14</t>
        </is>
      </c>
      <c r="C72" s="35" t="n">
        <v>525572.6704764017</v>
      </c>
      <c r="D72" s="36">
        <f>IF(C71&gt;0,C72/C71-1,"")</f>
        <v/>
      </c>
      <c r="E72" s="36">
        <f>IF(D72="","",D72-$C$12)</f>
        <v/>
      </c>
      <c r="F72" s="35" t="n">
        <v>447932.5446533868</v>
      </c>
      <c r="G72" s="36">
        <f>IF(F71&gt;0,F72/F71-1,"")</f>
        <v/>
      </c>
      <c r="H72" s="36">
        <f>IF(G72="","",G72-$D$12)</f>
        <v/>
      </c>
    </row>
    <row r="73">
      <c r="B73" s="34" t="inlineStr">
        <is>
          <t>2021-12-15</t>
        </is>
      </c>
      <c r="C73" s="35" t="n">
        <v>529656.4015593575</v>
      </c>
      <c r="D73" s="36">
        <f>IF(C72&gt;0,C73/C72-1,"")</f>
        <v/>
      </c>
      <c r="E73" s="36">
        <f>IF(D73="","",D73-$C$12)</f>
        <v/>
      </c>
      <c r="F73" s="35" t="n">
        <v>450525.6320590008</v>
      </c>
      <c r="G73" s="36">
        <f>IF(F72&gt;0,F73/F72-1,"")</f>
        <v/>
      </c>
      <c r="H73" s="36">
        <f>IF(G73="","",G73-$D$12)</f>
        <v/>
      </c>
    </row>
    <row r="74">
      <c r="B74" s="34" t="inlineStr">
        <is>
          <t>2021-12-16</t>
        </is>
      </c>
      <c r="C74" s="35" t="n">
        <v>531595.499508094</v>
      </c>
      <c r="D74" s="36">
        <f>IF(C73&gt;0,C74/C73-1,"")</f>
        <v/>
      </c>
      <c r="E74" s="36">
        <f>IF(D74="","",D74-$C$12)</f>
        <v/>
      </c>
      <c r="F74" s="35" t="n">
        <v>453133.825893829</v>
      </c>
      <c r="G74" s="36">
        <f>IF(F73&gt;0,F74/F73-1,"")</f>
        <v/>
      </c>
      <c r="H74" s="36">
        <f>IF(G74="","",G74-$D$12)</f>
        <v/>
      </c>
    </row>
    <row r="75">
      <c r="B75" s="34" t="inlineStr">
        <is>
          <t>2021-12-17</t>
        </is>
      </c>
      <c r="C75" s="35" t="n">
        <v>528885.8717683038</v>
      </c>
      <c r="D75" s="36">
        <f>IF(C74&gt;0,C75/C74-1,"")</f>
        <v/>
      </c>
      <c r="E75" s="36">
        <f>IF(D75="","",D75-$C$12)</f>
        <v/>
      </c>
      <c r="F75" s="35" t="n">
        <v>450972.7372829375</v>
      </c>
      <c r="G75" s="36">
        <f>IF(F74&gt;0,F75/F74-1,"")</f>
        <v/>
      </c>
      <c r="H75" s="36">
        <f>IF(G75="","",G75-$D$12)</f>
        <v/>
      </c>
    </row>
    <row r="76">
      <c r="B76" s="34" t="inlineStr">
        <is>
          <t>2021-12-20</t>
        </is>
      </c>
      <c r="C76" s="35" t="n">
        <v>524571.7474828832</v>
      </c>
      <c r="D76" s="36">
        <f>IF(C75&gt;0,C76/C75-1,"")</f>
        <v/>
      </c>
      <c r="E76" s="36">
        <f>IF(D76="","",D76-$C$12)</f>
        <v/>
      </c>
      <c r="F76" s="35" t="n">
        <v>447945.8243173295</v>
      </c>
      <c r="G76" s="36">
        <f>IF(F75&gt;0,F76/F75-1,"")</f>
        <v/>
      </c>
      <c r="H76" s="36">
        <f>IF(G76="","",G76-$D$12)</f>
        <v/>
      </c>
    </row>
    <row r="77">
      <c r="B77" s="34" t="inlineStr">
        <is>
          <t>2021-12-21</t>
        </is>
      </c>
      <c r="C77" s="35" t="n">
        <v>530061.4335720513</v>
      </c>
      <c r="D77" s="36">
        <f>IF(C76&gt;0,C77/C76-1,"")</f>
        <v/>
      </c>
      <c r="E77" s="36">
        <f>IF(D77="","",D77-$C$12)</f>
        <v/>
      </c>
      <c r="F77" s="35" t="n">
        <v>451698.9098613973</v>
      </c>
      <c r="G77" s="36">
        <f>IF(F76&gt;0,F77/F76-1,"")</f>
        <v/>
      </c>
      <c r="H77" s="36">
        <f>IF(G77="","",G77-$D$12)</f>
        <v/>
      </c>
    </row>
    <row r="78">
      <c r="B78" s="34" t="inlineStr">
        <is>
          <t>2021-12-22</t>
        </is>
      </c>
      <c r="C78" s="35" t="n">
        <v>531527.772140188</v>
      </c>
      <c r="D78" s="36">
        <f>IF(C77&gt;0,C78/C77-1,"")</f>
        <v/>
      </c>
      <c r="E78" s="36">
        <f>IF(D78="","",D78-$C$12)</f>
        <v/>
      </c>
      <c r="F78" s="35" t="n">
        <v>452748.4176796237</v>
      </c>
      <c r="G78" s="36">
        <f>IF(F77&gt;0,F78/F77-1,"")</f>
        <v/>
      </c>
      <c r="H78" s="36">
        <f>IF(G78="","",G78-$D$12)</f>
        <v/>
      </c>
    </row>
    <row r="79">
      <c r="B79" s="34" t="inlineStr">
        <is>
          <t>2021-12-23</t>
        </is>
      </c>
      <c r="C79" s="35" t="n">
        <v>532712.4499985583</v>
      </c>
      <c r="D79" s="36">
        <f>IF(C78&gt;0,C79/C78-1,"")</f>
        <v/>
      </c>
      <c r="E79" s="36">
        <f>IF(D79="","",D79-$C$12)</f>
        <v/>
      </c>
      <c r="F79" s="35" t="n">
        <v>454304.4771453647</v>
      </c>
      <c r="G79" s="36">
        <f>IF(F78&gt;0,F79/F78-1,"")</f>
        <v/>
      </c>
      <c r="H79" s="36">
        <f>IF(G79="","",G79-$D$12)</f>
        <v/>
      </c>
    </row>
    <row r="80">
      <c r="B80" s="34" t="inlineStr">
        <is>
          <t>2021-12-24</t>
        </is>
      </c>
      <c r="C80" s="35" t="n">
        <v>532814.719933168</v>
      </c>
      <c r="D80" s="36">
        <f>IF(C79&gt;0,C80/C79-1,"")</f>
        <v/>
      </c>
      <c r="E80" s="36">
        <f>IF(D80="","",D80-$C$12)</f>
        <v/>
      </c>
      <c r="F80" s="35" t="n">
        <v>454492.3223697945</v>
      </c>
      <c r="G80" s="36">
        <f>IF(F79&gt;0,F80/F79-1,"")</f>
        <v/>
      </c>
      <c r="H80" s="36">
        <f>IF(G80="","",G80-$D$12)</f>
        <v/>
      </c>
    </row>
    <row r="81">
      <c r="B81" s="34" t="inlineStr">
        <is>
          <t>2021-12-27</t>
        </is>
      </c>
      <c r="C81" s="35" t="n">
        <v>535730.997276952</v>
      </c>
      <c r="D81" s="36">
        <f>IF(C80&gt;0,C81/C80-1,"")</f>
        <v/>
      </c>
      <c r="E81" s="36">
        <f>IF(D81="","",D81-$C$12)</f>
        <v/>
      </c>
      <c r="F81" s="35" t="n">
        <v>456913.7233143282</v>
      </c>
      <c r="G81" s="36">
        <f>IF(F80&gt;0,F81/F80-1,"")</f>
        <v/>
      </c>
      <c r="H81" s="36">
        <f>IF(G81="","",G81-$D$12)</f>
        <v/>
      </c>
    </row>
    <row r="82">
      <c r="B82" s="34" t="inlineStr">
        <is>
          <t>2021-12-28</t>
        </is>
      </c>
      <c r="C82" s="35" t="n">
        <v>535824.8002512172</v>
      </c>
      <c r="D82" s="36">
        <f>IF(C81&gt;0,C82/C81-1,"")</f>
        <v/>
      </c>
      <c r="E82" s="36">
        <f>IF(D82="","",D82-$C$12)</f>
        <v/>
      </c>
      <c r="F82" s="35" t="n">
        <v>457390.4332956406</v>
      </c>
      <c r="G82" s="36">
        <f>IF(F81&gt;0,F82/F81-1,"")</f>
        <v/>
      </c>
      <c r="H82" s="36">
        <f>IF(G82="","",G82-$D$12)</f>
        <v/>
      </c>
    </row>
    <row r="83">
      <c r="B83" s="34" t="inlineStr">
        <is>
          <t>2021-12-29</t>
        </is>
      </c>
      <c r="C83" s="35" t="n">
        <v>533885.7152884405</v>
      </c>
      <c r="D83" s="36">
        <f>IF(C82&gt;0,C83/C82-1,"")</f>
        <v/>
      </c>
      <c r="E83" s="36">
        <f>IF(D83="","",D83-$C$12)</f>
        <v/>
      </c>
      <c r="F83" s="35" t="n">
        <v>456302.2974192102</v>
      </c>
      <c r="G83" s="36">
        <f>IF(F82&gt;0,F83/F82-1,"")</f>
        <v/>
      </c>
      <c r="H83" s="36">
        <f>IF(G83="","",G83-$D$12)</f>
        <v/>
      </c>
    </row>
    <row r="84">
      <c r="B84" s="34" t="inlineStr">
        <is>
          <t>2021-12-30</t>
        </is>
      </c>
      <c r="C84" s="35" t="n">
        <v>532885.9505587725</v>
      </c>
      <c r="D84" s="36">
        <f>IF(C83&gt;0,C84/C83-1,"")</f>
        <v/>
      </c>
      <c r="E84" s="36">
        <f>IF(D84="","",D84-$C$12)</f>
        <v/>
      </c>
      <c r="F84" s="35" t="n">
        <v>455581.2357124904</v>
      </c>
      <c r="G84" s="36">
        <f>IF(F83&gt;0,F84/F83-1,"")</f>
        <v/>
      </c>
      <c r="H84" s="36">
        <f>IF(G84="","",G84-$D$12)</f>
        <v/>
      </c>
    </row>
    <row r="85">
      <c r="B85" s="34" t="inlineStr">
        <is>
          <t>2021-12-31</t>
        </is>
      </c>
      <c r="C85" s="35" t="n">
        <v>531877.5741625481</v>
      </c>
      <c r="D85" s="36">
        <f>IF(C84&gt;0,C85/C84-1,"")</f>
        <v/>
      </c>
      <c r="E85" s="36">
        <f>IF(D85="","",D85-$C$12)</f>
        <v/>
      </c>
      <c r="F85" s="35" t="n">
        <v>455160.065593752</v>
      </c>
      <c r="G85" s="36">
        <f>IF(F84&gt;0,F85/F84-1,"")</f>
        <v/>
      </c>
      <c r="H85" s="36">
        <f>IF(G85="","",G85-$D$12)</f>
        <v/>
      </c>
    </row>
    <row r="86">
      <c r="B86" s="34" t="inlineStr">
        <is>
          <t>2022-01-03</t>
        </is>
      </c>
      <c r="C86" s="35" t="n">
        <v>534885.1692129403</v>
      </c>
      <c r="D86" s="36">
        <f>IF(C85&gt;0,C86/C85-1,"")</f>
        <v/>
      </c>
      <c r="E86" s="36">
        <f>IF(D86="","",D86-$C$12)</f>
        <v/>
      </c>
      <c r="F86" s="35" t="n">
        <v>457138.1349997028</v>
      </c>
      <c r="G86" s="36">
        <f>IF(F85&gt;0,F86/F85-1,"")</f>
        <v/>
      </c>
      <c r="H86" s="36">
        <f>IF(G86="","",G86-$D$12)</f>
        <v/>
      </c>
    </row>
    <row r="87">
      <c r="B87" s="34" t="inlineStr">
        <is>
          <t>2022-01-04</t>
        </is>
      </c>
      <c r="C87" s="35" t="n">
        <v>533957.3808743634</v>
      </c>
      <c r="D87" s="36">
        <f>IF(C86&gt;0,C87/C86-1,"")</f>
        <v/>
      </c>
      <c r="E87" s="36">
        <f>IF(D87="","",D87-$C$12)</f>
        <v/>
      </c>
      <c r="F87" s="35" t="n">
        <v>456320.5568091701</v>
      </c>
      <c r="G87" s="36">
        <f>IF(F86&gt;0,F87/F86-1,"")</f>
        <v/>
      </c>
      <c r="H87" s="36">
        <f>IF(G87="","",G87-$D$12)</f>
        <v/>
      </c>
    </row>
    <row r="88">
      <c r="B88" s="34" t="inlineStr">
        <is>
          <t>2022-01-05</t>
        </is>
      </c>
      <c r="C88" s="35" t="n">
        <v>528990.862261069</v>
      </c>
      <c r="D88" s="36">
        <f>IF(C87&gt;0,C88/C87-1,"")</f>
        <v/>
      </c>
      <c r="E88" s="36">
        <f>IF(D88="","",D88-$C$12)</f>
        <v/>
      </c>
      <c r="F88" s="35" t="n">
        <v>454153.200908179</v>
      </c>
      <c r="G88" s="36">
        <f>IF(F87&gt;0,F88/F87-1,"")</f>
        <v/>
      </c>
      <c r="H88" s="36">
        <f>IF(G88="","",G88-$D$12)</f>
        <v/>
      </c>
    </row>
    <row r="89">
      <c r="B89" s="34" t="inlineStr">
        <is>
          <t>2022-01-06</t>
        </is>
      </c>
      <c r="C89" s="35" t="n">
        <v>527281.9047302061</v>
      </c>
      <c r="D89" s="36">
        <f>IF(C88&gt;0,C89/C88-1,"")</f>
        <v/>
      </c>
      <c r="E89" s="36">
        <f>IF(D89="","",D89-$C$12)</f>
        <v/>
      </c>
      <c r="F89" s="35" t="n">
        <v>452687.6418270633</v>
      </c>
      <c r="G89" s="36">
        <f>IF(F88&gt;0,F89/F88-1,"")</f>
        <v/>
      </c>
      <c r="H89" s="36">
        <f>IF(G89="","",G89-$D$12)</f>
        <v/>
      </c>
    </row>
    <row r="90">
      <c r="B90" s="34" t="inlineStr">
        <is>
          <t>2022-01-07</t>
        </is>
      </c>
      <c r="C90" s="35" t="n">
        <v>526413.3893410927</v>
      </c>
      <c r="D90" s="36">
        <f>IF(C89&gt;0,C90/C89-1,"")</f>
        <v/>
      </c>
      <c r="E90" s="36">
        <f>IF(D90="","",D90-$C$12)</f>
        <v/>
      </c>
      <c r="F90" s="35" t="n">
        <v>452435.9392977049</v>
      </c>
      <c r="G90" s="36">
        <f>IF(F89&gt;0,F90/F89-1,"")</f>
        <v/>
      </c>
      <c r="H90" s="36">
        <f>IF(G90="","",G90-$D$12)</f>
        <v/>
      </c>
    </row>
    <row r="91">
      <c r="B91" s="34" t="inlineStr">
        <is>
          <t>2022-01-10</t>
        </is>
      </c>
      <c r="C91" s="35" t="n">
        <v>526309.4259411519</v>
      </c>
      <c r="D91" s="36">
        <f>IF(C90&gt;0,C91/C90-1,"")</f>
        <v/>
      </c>
      <c r="E91" s="36">
        <f>IF(D91="","",D91-$C$12)</f>
        <v/>
      </c>
      <c r="F91" s="35" t="n">
        <v>451104.1309120047</v>
      </c>
      <c r="G91" s="36">
        <f>IF(F90&gt;0,F91/F90-1,"")</f>
        <v/>
      </c>
      <c r="H91" s="36">
        <f>IF(G91="","",G91-$D$12)</f>
        <v/>
      </c>
    </row>
    <row r="92">
      <c r="B92" s="34" t="inlineStr">
        <is>
          <t>2022-01-11</t>
        </is>
      </c>
      <c r="C92" s="35" t="n">
        <v>528878.3135470857</v>
      </c>
      <c r="D92" s="36">
        <f>IF(C91&gt;0,C92/C91-1,"")</f>
        <v/>
      </c>
      <c r="E92" s="36">
        <f>IF(D92="","",D92-$C$12)</f>
        <v/>
      </c>
      <c r="F92" s="35" t="n">
        <v>453484.7126459632</v>
      </c>
      <c r="G92" s="36">
        <f>IF(F91&gt;0,F92/F91-1,"")</f>
        <v/>
      </c>
      <c r="H92" s="36">
        <f>IF(G92="","",G92-$D$12)</f>
        <v/>
      </c>
    </row>
    <row r="93">
      <c r="B93" s="34" t="inlineStr">
        <is>
          <t>2022-01-12</t>
        </is>
      </c>
      <c r="C93" s="35" t="n">
        <v>529644.2624061333</v>
      </c>
      <c r="D93" s="36">
        <f>IF(C92&gt;0,C93/C92-1,"")</f>
        <v/>
      </c>
      <c r="E93" s="36">
        <f>IF(D93="","",D93-$C$12)</f>
        <v/>
      </c>
      <c r="F93" s="35" t="n">
        <v>454122.2897105787</v>
      </c>
      <c r="G93" s="36">
        <f>IF(F92&gt;0,F93/F92-1,"")</f>
        <v/>
      </c>
      <c r="H93" s="36">
        <f>IF(G93="","",G93-$D$12)</f>
        <v/>
      </c>
    </row>
    <row r="94">
      <c r="B94" s="34" t="inlineStr">
        <is>
          <t>2022-01-13</t>
        </is>
      </c>
      <c r="C94" s="35" t="n">
        <v>525885.0519248883</v>
      </c>
      <c r="D94" s="36">
        <f>IF(C93&gt;0,C94/C93-1,"")</f>
        <v/>
      </c>
      <c r="E94" s="36">
        <f>IF(D94="","",D94-$C$12)</f>
        <v/>
      </c>
      <c r="F94" s="35" t="n">
        <v>451595.2693473613</v>
      </c>
      <c r="G94" s="36">
        <f>IF(F93&gt;0,F94/F93-1,"")</f>
        <v/>
      </c>
      <c r="H94" s="36">
        <f>IF(G94="","",G94-$D$12)</f>
        <v/>
      </c>
    </row>
    <row r="95">
      <c r="B95" s="34" t="inlineStr">
        <is>
          <t>2022-01-14</t>
        </is>
      </c>
      <c r="C95" s="35" t="n">
        <v>525240.5126421927</v>
      </c>
      <c r="D95" s="36">
        <f>IF(C94&gt;0,C95/C94-1,"")</f>
        <v/>
      </c>
      <c r="E95" s="36">
        <f>IF(D95="","",D95-$C$12)</f>
        <v/>
      </c>
      <c r="F95" s="35" t="n">
        <v>450418.9364906517</v>
      </c>
      <c r="G95" s="36">
        <f>IF(F94&gt;0,F95/F94-1,"")</f>
        <v/>
      </c>
      <c r="H95" s="36">
        <f>IF(G95="","",G95-$D$12)</f>
        <v/>
      </c>
    </row>
    <row r="96">
      <c r="B96" s="34" t="inlineStr">
        <is>
          <t>2022-01-17</t>
        </is>
      </c>
      <c r="C96" s="35" t="n">
        <v>527064.410704369</v>
      </c>
      <c r="D96" s="36">
        <f>IF(C95&gt;0,C96/C95-1,"")</f>
        <v/>
      </c>
      <c r="E96" s="36">
        <f>IF(D96="","",D96-$C$12)</f>
        <v/>
      </c>
      <c r="F96" s="35" t="n">
        <v>452293.6063140511</v>
      </c>
      <c r="G96" s="36">
        <f>IF(F95&gt;0,F96/F95-1,"")</f>
        <v/>
      </c>
      <c r="H96" s="36">
        <f>IF(G96="","",G96-$D$12)</f>
        <v/>
      </c>
    </row>
    <row r="97">
      <c r="B97" s="34" t="inlineStr">
        <is>
          <t>2022-01-18</t>
        </is>
      </c>
      <c r="C97" s="35" t="n">
        <v>524318.8181820728</v>
      </c>
      <c r="D97" s="36">
        <f>IF(C96&gt;0,C97/C96-1,"")</f>
        <v/>
      </c>
      <c r="E97" s="36">
        <f>IF(D97="","",D97-$C$12)</f>
        <v/>
      </c>
      <c r="F97" s="35" t="n">
        <v>449768.6121902741</v>
      </c>
      <c r="G97" s="36">
        <f>IF(F96&gt;0,F97/F96-1,"")</f>
        <v/>
      </c>
      <c r="H97" s="36">
        <f>IF(G97="","",G97-$D$12)</f>
        <v/>
      </c>
    </row>
    <row r="98">
      <c r="B98" s="34" t="inlineStr">
        <is>
          <t>2022-01-19</t>
        </is>
      </c>
      <c r="C98" s="35" t="n">
        <v>521936.4366534362</v>
      </c>
      <c r="D98" s="36">
        <f>IF(C97&gt;0,C98/C97-1,"")</f>
        <v/>
      </c>
      <c r="E98" s="36">
        <f>IF(D98="","",D98-$C$12)</f>
        <v/>
      </c>
      <c r="F98" s="35" t="n">
        <v>448436.5010914972</v>
      </c>
      <c r="G98" s="36">
        <f>IF(F97&gt;0,F98/F97-1,"")</f>
        <v/>
      </c>
      <c r="H98" s="36">
        <f>IF(G98="","",G98-$D$12)</f>
        <v/>
      </c>
    </row>
    <row r="99">
      <c r="B99" s="34" t="inlineStr">
        <is>
          <t>2022-01-20</t>
        </is>
      </c>
      <c r="C99" s="35" t="n">
        <v>521196.6358960483</v>
      </c>
      <c r="D99" s="36">
        <f>IF(C98&gt;0,C99/C98-1,"")</f>
        <v/>
      </c>
      <c r="E99" s="36">
        <f>IF(D99="","",D99-$C$12)</f>
        <v/>
      </c>
      <c r="F99" s="35" t="n">
        <v>448248.8959098749</v>
      </c>
      <c r="G99" s="36">
        <f>IF(F98&gt;0,F99/F98-1,"")</f>
        <v/>
      </c>
      <c r="H99" s="36">
        <f>IF(G99="","",G99-$D$12)</f>
        <v/>
      </c>
    </row>
    <row r="100">
      <c r="B100" s="34" t="inlineStr">
        <is>
          <t>2022-01-21</t>
        </is>
      </c>
      <c r="C100" s="35" t="n">
        <v>514696.325114871</v>
      </c>
      <c r="D100" s="36">
        <f>IF(C99&gt;0,C100/C99-1,"")</f>
        <v/>
      </c>
      <c r="E100" s="36">
        <f>IF(D100="","",D100-$C$12)</f>
        <v/>
      </c>
      <c r="F100" s="35" t="n">
        <v>443038.1368674517</v>
      </c>
      <c r="G100" s="36">
        <f>IF(F99&gt;0,F100/F99-1,"")</f>
        <v/>
      </c>
      <c r="H100" s="36">
        <f>IF(G100="","",G100-$D$12)</f>
        <v/>
      </c>
    </row>
    <row r="101">
      <c r="B101" s="34" t="inlineStr">
        <is>
          <t>2022-01-24</t>
        </is>
      </c>
      <c r="C101" s="35" t="n">
        <v>506562.4719267099</v>
      </c>
      <c r="D101" s="36">
        <f>IF(C100&gt;0,C101/C100-1,"")</f>
        <v/>
      </c>
      <c r="E101" s="36">
        <f>IF(D101="","",D101-$C$12)</f>
        <v/>
      </c>
      <c r="F101" s="35" t="n">
        <v>435338.5836853084</v>
      </c>
      <c r="G101" s="36">
        <f>IF(F100&gt;0,F101/F100-1,"")</f>
        <v/>
      </c>
      <c r="H101" s="36">
        <f>IF(G101="","",G101-$D$12)</f>
        <v/>
      </c>
    </row>
    <row r="102">
      <c r="B102" s="34" t="inlineStr">
        <is>
          <t>2022-01-25</t>
        </is>
      </c>
      <c r="C102" s="35" t="n">
        <v>507752.355086662</v>
      </c>
      <c r="D102" s="36">
        <f>IF(C101&gt;0,C102/C101-1,"")</f>
        <v/>
      </c>
      <c r="E102" s="36">
        <f>IF(D102="","",D102-$C$12)</f>
        <v/>
      </c>
      <c r="F102" s="35" t="n">
        <v>437253.5953759836</v>
      </c>
      <c r="G102" s="36">
        <f>IF(F101&gt;0,F102/F101-1,"")</f>
        <v/>
      </c>
      <c r="H102" s="36">
        <f>IF(G102="","",G102-$D$12)</f>
        <v/>
      </c>
    </row>
    <row r="103">
      <c r="B103" s="34" t="inlineStr">
        <is>
          <t>2022-01-26</t>
        </is>
      </c>
      <c r="C103" s="35" t="n">
        <v>512620.82020542</v>
      </c>
      <c r="D103" s="36">
        <f>IF(C102&gt;0,C103/C102-1,"")</f>
        <v/>
      </c>
      <c r="E103" s="36">
        <f>IF(D103="","",D103-$C$12)</f>
        <v/>
      </c>
      <c r="F103" s="35" t="n">
        <v>440834.9556477924</v>
      </c>
      <c r="G103" s="36">
        <f>IF(F102&gt;0,F103/F102-1,"")</f>
        <v/>
      </c>
      <c r="H103" s="36">
        <f>IF(G103="","",G103-$D$12)</f>
        <v/>
      </c>
    </row>
    <row r="104">
      <c r="B104" s="34" t="inlineStr">
        <is>
          <t>2022-01-27</t>
        </is>
      </c>
      <c r="C104" s="35" t="n">
        <v>514725.9368664572</v>
      </c>
      <c r="D104" s="36">
        <f>IF(C103&gt;0,C104/C103-1,"")</f>
        <v/>
      </c>
      <c r="E104" s="36">
        <f>IF(D104="","",D104-$C$12)</f>
        <v/>
      </c>
      <c r="F104" s="35" t="n">
        <v>442156.2497883786</v>
      </c>
      <c r="G104" s="36">
        <f>IF(F103&gt;0,F104/F103-1,"")</f>
        <v/>
      </c>
      <c r="H104" s="36">
        <f>IF(G104="","",G104-$D$12)</f>
        <v/>
      </c>
    </row>
    <row r="105">
      <c r="B105" s="34" t="inlineStr">
        <is>
          <t>2022-01-28</t>
        </is>
      </c>
      <c r="C105" s="35" t="n">
        <v>516205.1531134598</v>
      </c>
      <c r="D105" s="36">
        <f>IF(C104&gt;0,C105/C104-1,"")</f>
        <v/>
      </c>
      <c r="E105" s="36">
        <f>IF(D105="","",D105-$C$12)</f>
        <v/>
      </c>
      <c r="F105" s="35" t="n">
        <v>442168.3759124679</v>
      </c>
      <c r="G105" s="36">
        <f>IF(F104&gt;0,F105/F104-1,"")</f>
        <v/>
      </c>
      <c r="H105" s="36">
        <f>IF(G105="","",G105-$D$12)</f>
        <v/>
      </c>
    </row>
    <row r="106">
      <c r="B106" s="34" t="inlineStr">
        <is>
          <t>2022-01-31</t>
        </is>
      </c>
      <c r="C106" s="35" t="n">
        <v>520274.2297057282</v>
      </c>
      <c r="D106" s="36">
        <f>IF(C105&gt;0,C106/C105-1,"")</f>
        <v/>
      </c>
      <c r="E106" s="36">
        <f>IF(D106="","",D106-$C$12)</f>
        <v/>
      </c>
      <c r="F106" s="35" t="n">
        <v>445534.9960457361</v>
      </c>
      <c r="G106" s="36">
        <f>IF(F105&gt;0,F106/F105-1,"")</f>
        <v/>
      </c>
      <c r="H106" s="36">
        <f>IF(G106="","",G106-$D$12)</f>
        <v/>
      </c>
    </row>
    <row r="107">
      <c r="B107" s="34" t="inlineStr">
        <is>
          <t>2022-02-01</t>
        </is>
      </c>
      <c r="C107" s="35" t="n">
        <v>522420.5222390378</v>
      </c>
      <c r="D107" s="36">
        <f>IF(C106&gt;0,C107/C106-1,"")</f>
        <v/>
      </c>
      <c r="E107" s="36">
        <f>IF(D107="","",D107-$C$12)</f>
        <v/>
      </c>
      <c r="F107" s="35" t="n">
        <v>447120.8267218217</v>
      </c>
      <c r="G107" s="36">
        <f>IF(F106&gt;0,F107/F106-1,"")</f>
        <v/>
      </c>
      <c r="H107" s="36">
        <f>IF(G107="","",G107-$D$12)</f>
        <v/>
      </c>
    </row>
    <row r="108">
      <c r="B108" s="34" t="inlineStr">
        <is>
          <t>2022-02-02</t>
        </is>
      </c>
      <c r="C108" s="35" t="n">
        <v>528765.5208058456</v>
      </c>
      <c r="D108" s="36">
        <f>IF(C107&gt;0,C108/C107-1,"")</f>
        <v/>
      </c>
      <c r="E108" s="36">
        <f>IF(D108="","",D108-$C$12)</f>
        <v/>
      </c>
      <c r="F108" s="35" t="n">
        <v>449922.7221893162</v>
      </c>
      <c r="G108" s="36">
        <f>IF(F107&gt;0,F108/F107-1,"")</f>
        <v/>
      </c>
      <c r="H108" s="36">
        <f>IF(G108="","",G108-$D$12)</f>
        <v/>
      </c>
    </row>
    <row r="109">
      <c r="B109" s="34" t="inlineStr">
        <is>
          <t>2022-02-03</t>
        </is>
      </c>
      <c r="C109" s="35" t="n">
        <v>523091.2325467477</v>
      </c>
      <c r="D109" s="36">
        <f>IF(C108&gt;0,C109/C108-1,"")</f>
        <v/>
      </c>
      <c r="E109" s="36">
        <f>IF(D109="","",D109-$C$12)</f>
        <v/>
      </c>
      <c r="F109" s="35" t="n">
        <v>446270.6661891392</v>
      </c>
      <c r="G109" s="36">
        <f>IF(F108&gt;0,F109/F108-1,"")</f>
        <v/>
      </c>
      <c r="H109" s="36">
        <f>IF(G109="","",G109-$D$12)</f>
        <v/>
      </c>
    </row>
    <row r="110">
      <c r="B110" s="34" t="inlineStr">
        <is>
          <t>2022-02-04</t>
        </is>
      </c>
      <c r="C110" s="35" t="n">
        <v>522905.2808832459</v>
      </c>
      <c r="D110" s="36">
        <f>IF(C109&gt;0,C110/C109-1,"")</f>
        <v/>
      </c>
      <c r="E110" s="36">
        <f>IF(D110="","",D110-$C$12)</f>
        <v/>
      </c>
      <c r="F110" s="35" t="n">
        <v>446002.2942608059</v>
      </c>
      <c r="G110" s="36">
        <f>IF(F109&gt;0,F110/F109-1,"")</f>
        <v/>
      </c>
      <c r="H110" s="36">
        <f>IF(G110="","",G110-$D$12)</f>
        <v/>
      </c>
    </row>
    <row r="111">
      <c r="B111" s="34" t="inlineStr">
        <is>
          <t>2022-02-07</t>
        </is>
      </c>
      <c r="C111" s="35" t="n">
        <v>522744.3522107779</v>
      </c>
      <c r="D111" s="36">
        <f>IF(C110&gt;0,C111/C110-1,"")</f>
        <v/>
      </c>
      <c r="E111" s="36">
        <f>IF(D111="","",D111-$C$12)</f>
        <v/>
      </c>
      <c r="F111" s="35" t="n">
        <v>446862.4739345088</v>
      </c>
      <c r="G111" s="36">
        <f>IF(F110&gt;0,F111/F110-1,"")</f>
        <v/>
      </c>
      <c r="H111" s="36">
        <f>IF(G111="","",G111-$D$12)</f>
        <v/>
      </c>
    </row>
    <row r="112">
      <c r="B112" s="34" t="inlineStr">
        <is>
          <t>2022-02-08</t>
        </is>
      </c>
      <c r="C112" s="35" t="n">
        <v>522399.7454137831</v>
      </c>
      <c r="D112" s="36">
        <f>IF(C111&gt;0,C112/C111-1,"")</f>
        <v/>
      </c>
      <c r="E112" s="36">
        <f>IF(D112="","",D112-$C$12)</f>
        <v/>
      </c>
      <c r="F112" s="35" t="n">
        <v>446584.5501875181</v>
      </c>
      <c r="G112" s="36">
        <f>IF(F111&gt;0,F112/F111-1,"")</f>
        <v/>
      </c>
      <c r="H112" s="36">
        <f>IF(G112="","",G112-$D$12)</f>
        <v/>
      </c>
    </row>
    <row r="113">
      <c r="B113" s="34" t="inlineStr">
        <is>
          <t>2022-02-09</t>
        </is>
      </c>
      <c r="C113" s="35" t="n">
        <v>528552.1221240342</v>
      </c>
      <c r="D113" s="36">
        <f>IF(C112&gt;0,C113/C112-1,"")</f>
        <v/>
      </c>
      <c r="E113" s="36">
        <f>IF(D113="","",D113-$C$12)</f>
        <v/>
      </c>
      <c r="F113" s="35" t="n">
        <v>451715.3707816962</v>
      </c>
      <c r="G113" s="36">
        <f>IF(F112&gt;0,F113/F112-1,"")</f>
        <v/>
      </c>
      <c r="H113" s="36">
        <f>IF(G113="","",G113-$D$12)</f>
        <v/>
      </c>
    </row>
    <row r="114">
      <c r="B114" s="34" t="inlineStr">
        <is>
          <t>2022-02-10</t>
        </is>
      </c>
      <c r="C114" s="35" t="n">
        <v>525366.0890827095</v>
      </c>
      <c r="D114" s="36">
        <f>IF(C113&gt;0,C114/C113-1,"")</f>
        <v/>
      </c>
      <c r="E114" s="36">
        <f>IF(D114="","",D114-$C$12)</f>
        <v/>
      </c>
      <c r="F114" s="35" t="n">
        <v>450143.8139027606</v>
      </c>
      <c r="G114" s="36">
        <f>IF(F113&gt;0,F114/F113-1,"")</f>
        <v/>
      </c>
      <c r="H114" s="36">
        <f>IF(G114="","",G114-$D$12)</f>
        <v/>
      </c>
    </row>
    <row r="115">
      <c r="B115" s="34" t="inlineStr">
        <is>
          <t>2022-02-11</t>
        </is>
      </c>
      <c r="C115" s="35" t="n">
        <v>520910.9552643151</v>
      </c>
      <c r="D115" s="36">
        <f>IF(C114&gt;0,C115/C114-1,"")</f>
        <v/>
      </c>
      <c r="E115" s="36">
        <f>IF(D115="","",D115-$C$12)</f>
        <v/>
      </c>
      <c r="F115" s="35" t="n">
        <v>447214.4902335097</v>
      </c>
      <c r="G115" s="36">
        <f>IF(F114&gt;0,F115/F114-1,"")</f>
        <v/>
      </c>
      <c r="H115" s="36">
        <f>IF(G115="","",G115-$D$12)</f>
        <v/>
      </c>
    </row>
    <row r="116">
      <c r="B116" s="34" t="inlineStr">
        <is>
          <t>2022-02-14</t>
        </is>
      </c>
      <c r="C116" s="35" t="n">
        <v>516737.7771240554</v>
      </c>
      <c r="D116" s="36">
        <f>IF(C115&gt;0,C116/C115-1,"")</f>
        <v/>
      </c>
      <c r="E116" s="36">
        <f>IF(D116="","",D116-$C$12)</f>
        <v/>
      </c>
      <c r="F116" s="35" t="n">
        <v>443445.499400794</v>
      </c>
      <c r="G116" s="36">
        <f>IF(F115&gt;0,F116/F115-1,"")</f>
        <v/>
      </c>
      <c r="H116" s="36">
        <f>IF(G116="","",G116-$D$12)</f>
        <v/>
      </c>
    </row>
    <row r="117">
      <c r="B117" s="34" t="inlineStr">
        <is>
          <t>2022-02-15</t>
        </is>
      </c>
      <c r="C117" s="35" t="n">
        <v>521098.6950010736</v>
      </c>
      <c r="D117" s="36">
        <f>IF(C116&gt;0,C117/C116-1,"")</f>
        <v/>
      </c>
      <c r="E117" s="36">
        <f>IF(D117="","",D117-$C$12)</f>
        <v/>
      </c>
      <c r="F117" s="35" t="n">
        <v>446754.1573735932</v>
      </c>
      <c r="G117" s="36">
        <f>IF(F116&gt;0,F117/F116-1,"")</f>
        <v/>
      </c>
      <c r="H117" s="36">
        <f>IF(G117="","",G117-$D$12)</f>
        <v/>
      </c>
    </row>
    <row r="118">
      <c r="B118" s="34" t="inlineStr">
        <is>
          <t>2022-02-16</t>
        </is>
      </c>
      <c r="C118" s="35" t="n">
        <v>522240.2878086261</v>
      </c>
      <c r="D118" s="36">
        <f>IF(C117&gt;0,C118/C117-1,"")</f>
        <v/>
      </c>
      <c r="E118" s="36">
        <f>IF(D118="","",D118-$C$12)</f>
        <v/>
      </c>
      <c r="F118" s="35" t="n">
        <v>447363.2439841463</v>
      </c>
      <c r="G118" s="36">
        <f>IF(F117&gt;0,F118/F117-1,"")</f>
        <v/>
      </c>
      <c r="H118" s="36">
        <f>IF(G118="","",G118-$D$12)</f>
        <v/>
      </c>
    </row>
    <row r="119">
      <c r="B119" s="34" t="inlineStr">
        <is>
          <t>2022-02-17</t>
        </is>
      </c>
      <c r="C119" s="35" t="n">
        <v>515790.809265539</v>
      </c>
      <c r="D119" s="36">
        <f>IF(C118&gt;0,C119/C118-1,"")</f>
        <v/>
      </c>
      <c r="E119" s="36">
        <f>IF(D119="","",D119-$C$12)</f>
        <v/>
      </c>
      <c r="F119" s="35" t="n">
        <v>443041.3428295671</v>
      </c>
      <c r="G119" s="36">
        <f>IF(F118&gt;0,F119/F118-1,"")</f>
        <v/>
      </c>
      <c r="H119" s="36">
        <f>IF(G119="","",G119-$D$12)</f>
        <v/>
      </c>
    </row>
    <row r="120">
      <c r="B120" s="34" t="inlineStr">
        <is>
          <t>2022-02-18</t>
        </is>
      </c>
      <c r="C120" s="35" t="n">
        <v>512616.6918256446</v>
      </c>
      <c r="D120" s="36">
        <f>IF(C119&gt;0,C120/C119-1,"")</f>
        <v/>
      </c>
      <c r="E120" s="36">
        <f>IF(D120="","",D120-$C$12)</f>
        <v/>
      </c>
      <c r="F120" s="35" t="n">
        <v>440498.3908256142</v>
      </c>
      <c r="G120" s="36">
        <f>IF(F119&gt;0,F120/F119-1,"")</f>
        <v/>
      </c>
      <c r="H120" s="36">
        <f>IF(G120="","",G120-$D$12)</f>
        <v/>
      </c>
    </row>
    <row r="121">
      <c r="B121" s="34" t="inlineStr">
        <is>
          <t>2022-02-21</t>
        </is>
      </c>
      <c r="C121" s="35" t="n">
        <v>509367.7343597703</v>
      </c>
      <c r="D121" s="36">
        <f>IF(C120&gt;0,C121/C120-1,"")</f>
        <v/>
      </c>
      <c r="E121" s="36">
        <f>IF(D121="","",D121-$C$12)</f>
        <v/>
      </c>
      <c r="F121" s="35" t="n">
        <v>437561.8401174437</v>
      </c>
      <c r="G121" s="36">
        <f>IF(F120&gt;0,F121/F120-1,"")</f>
        <v/>
      </c>
      <c r="H121" s="36">
        <f>IF(G121="","",G121-$D$12)</f>
        <v/>
      </c>
    </row>
    <row r="122">
      <c r="B122" s="34" t="inlineStr">
        <is>
          <t>2022-02-22</t>
        </is>
      </c>
      <c r="C122" s="35" t="n">
        <v>509547.2941353285</v>
      </c>
      <c r="D122" s="36">
        <f>IF(C121&gt;0,C122/C121-1,"")</f>
        <v/>
      </c>
      <c r="E122" s="36">
        <f>IF(D122="","",D122-$C$12)</f>
        <v/>
      </c>
      <c r="F122" s="35" t="n">
        <v>437606.8238330067</v>
      </c>
      <c r="G122" s="36">
        <f>IF(F121&gt;0,F122/F121-1,"")</f>
        <v/>
      </c>
      <c r="H122" s="36">
        <f>IF(G122="","",G122-$D$12)</f>
        <v/>
      </c>
    </row>
    <row r="123">
      <c r="B123" s="34" t="inlineStr">
        <is>
          <t>2022-02-23</t>
        </is>
      </c>
      <c r="C123" s="35" t="n">
        <v>506784.2210919128</v>
      </c>
      <c r="D123" s="36">
        <f>IF(C122&gt;0,C123/C122-1,"")</f>
        <v/>
      </c>
      <c r="E123" s="36">
        <f>IF(D123="","",D123-$C$12)</f>
        <v/>
      </c>
      <c r="F123" s="35" t="n">
        <v>435831.6868296395</v>
      </c>
      <c r="G123" s="36">
        <f>IF(F122&gt;0,F123/F122-1,"")</f>
        <v/>
      </c>
      <c r="H123" s="36">
        <f>IF(G123="","",G123-$D$12)</f>
        <v/>
      </c>
    </row>
    <row r="124">
      <c r="B124" s="34" t="inlineStr">
        <is>
          <t>2022-02-24</t>
        </is>
      </c>
      <c r="C124" s="35" t="n">
        <v>506722.5172766974</v>
      </c>
      <c r="D124" s="36">
        <f>IF(C123&gt;0,C124/C123-1,"")</f>
        <v/>
      </c>
      <c r="E124" s="36">
        <f>IF(D124="","",D124-$C$12)</f>
        <v/>
      </c>
      <c r="F124" s="35" t="n">
        <v>433762.1700039071</v>
      </c>
      <c r="G124" s="36">
        <f>IF(F123&gt;0,F124/F123-1,"")</f>
        <v/>
      </c>
      <c r="H124" s="36">
        <f>IF(G124="","",G124-$D$12)</f>
        <v/>
      </c>
    </row>
    <row r="125">
      <c r="B125" s="34" t="inlineStr">
        <is>
          <t>2022-02-25</t>
        </is>
      </c>
      <c r="C125" s="35" t="n">
        <v>513516.71975719</v>
      </c>
      <c r="D125" s="36">
        <f>IF(C124&gt;0,C125/C124-1,"")</f>
        <v/>
      </c>
      <c r="E125" s="36">
        <f>IF(D125="","",D125-$C$12)</f>
        <v/>
      </c>
      <c r="F125" s="35" t="n">
        <v>440407.7795312589</v>
      </c>
      <c r="G125" s="36">
        <f>IF(F124&gt;0,F125/F124-1,"")</f>
        <v/>
      </c>
      <c r="H125" s="36">
        <f>IF(G125="","",G125-$D$12)</f>
        <v/>
      </c>
    </row>
    <row r="126">
      <c r="B126" s="34" t="inlineStr">
        <is>
          <t>2022-02-28</t>
        </is>
      </c>
      <c r="C126" s="35" t="n">
        <v>512503.3175749675</v>
      </c>
      <c r="D126" s="36">
        <f>IF(C125&gt;0,C126/C125-1,"")</f>
        <v/>
      </c>
      <c r="E126" s="36">
        <f>IF(D126="","",D126-$C$12)</f>
        <v/>
      </c>
      <c r="F126" s="35" t="n">
        <v>439472.7111964796</v>
      </c>
      <c r="G126" s="36">
        <f>IF(F125&gt;0,F126/F125-1,"")</f>
        <v/>
      </c>
      <c r="H126" s="36">
        <f>IF(G126="","",G126-$D$12)</f>
        <v/>
      </c>
    </row>
    <row r="127">
      <c r="B127" s="34" t="inlineStr">
        <is>
          <t>2022-03-01</t>
        </is>
      </c>
      <c r="C127" s="35" t="n">
        <v>511054.091646135</v>
      </c>
      <c r="D127" s="36">
        <f>IF(C126&gt;0,C127/C126-1,"")</f>
        <v/>
      </c>
      <c r="E127" s="36">
        <f>IF(D127="","",D127-$C$12)</f>
        <v/>
      </c>
      <c r="F127" s="35" t="n">
        <v>437874.0022808384</v>
      </c>
      <c r="G127" s="36">
        <f>IF(F126&gt;0,F127/F126-1,"")</f>
        <v/>
      </c>
      <c r="H127" s="36">
        <f>IF(G127="","",G127-$D$12)</f>
        <v/>
      </c>
    </row>
    <row r="128">
      <c r="B128" s="34" t="inlineStr">
        <is>
          <t>2022-03-02</t>
        </is>
      </c>
      <c r="C128" s="35" t="n">
        <v>513116.7438310822</v>
      </c>
      <c r="D128" s="36">
        <f>IF(C127&gt;0,C128/C127-1,"")</f>
        <v/>
      </c>
      <c r="E128" s="36">
        <f>IF(D128="","",D128-$C$12)</f>
        <v/>
      </c>
      <c r="F128" s="35" t="n">
        <v>439568.5141547117</v>
      </c>
      <c r="G128" s="36">
        <f>IF(F127&gt;0,F128/F127-1,"")</f>
        <v/>
      </c>
      <c r="H128" s="36">
        <f>IF(G128="","",G128-$D$12)</f>
        <v/>
      </c>
    </row>
    <row r="129">
      <c r="B129" s="34" t="inlineStr">
        <is>
          <t>2022-03-03</t>
        </is>
      </c>
      <c r="C129" s="35" t="n">
        <v>508577.8010901236</v>
      </c>
      <c r="D129" s="36">
        <f>IF(C128&gt;0,C129/C128-1,"")</f>
        <v/>
      </c>
      <c r="E129" s="36">
        <f>IF(D129="","",D129-$C$12)</f>
        <v/>
      </c>
      <c r="F129" s="35" t="n">
        <v>436147.7203649673</v>
      </c>
      <c r="G129" s="36">
        <f>IF(F128&gt;0,F129/F128-1,"")</f>
        <v/>
      </c>
      <c r="H129" s="36">
        <f>IF(G129="","",G129-$D$12)</f>
        <v/>
      </c>
    </row>
    <row r="130">
      <c r="B130" s="34" t="inlineStr">
        <is>
          <t>2022-03-04</t>
        </is>
      </c>
      <c r="C130" s="35" t="n">
        <v>500841.479144429</v>
      </c>
      <c r="D130" s="36">
        <f>IF(C129&gt;0,C130/C129-1,"")</f>
        <v/>
      </c>
      <c r="E130" s="36">
        <f>IF(D130="","",D130-$C$12)</f>
        <v/>
      </c>
      <c r="F130" s="35" t="n">
        <v>430248.8463946168</v>
      </c>
      <c r="G130" s="36">
        <f>IF(F129&gt;0,F130/F129-1,"")</f>
        <v/>
      </c>
      <c r="H130" s="36">
        <f>IF(G130="","",G130-$D$12)</f>
        <v/>
      </c>
    </row>
    <row r="131">
      <c r="B131" s="34" t="inlineStr">
        <is>
          <t>2022-03-07</t>
        </is>
      </c>
      <c r="C131" s="35" t="n">
        <v>495582.4380612101</v>
      </c>
      <c r="D131" s="36">
        <f>IF(C130&gt;0,C131/C130-1,"")</f>
        <v/>
      </c>
      <c r="E131" s="36">
        <f>IF(D131="","",D131-$C$12)</f>
        <v/>
      </c>
      <c r="F131" s="35" t="n">
        <v>427648.4251104752</v>
      </c>
      <c r="G131" s="36">
        <f>IF(F130&gt;0,F131/F130-1,"")</f>
        <v/>
      </c>
      <c r="H131" s="36">
        <f>IF(G131="","",G131-$D$12)</f>
        <v/>
      </c>
    </row>
    <row r="132">
      <c r="B132" s="34" t="inlineStr">
        <is>
          <t>2022-03-08</t>
        </is>
      </c>
      <c r="C132" s="35" t="n">
        <v>497884.929606054</v>
      </c>
      <c r="D132" s="36">
        <f>IF(C131&gt;0,C132/C131-1,"")</f>
        <v/>
      </c>
      <c r="E132" s="36">
        <f>IF(D132="","",D132-$C$12)</f>
        <v/>
      </c>
      <c r="F132" s="35" t="n">
        <v>428497.6157840577</v>
      </c>
      <c r="G132" s="36">
        <f>IF(F131&gt;0,F132/F131-1,"")</f>
        <v/>
      </c>
      <c r="H132" s="36">
        <f>IF(G132="","",G132-$D$12)</f>
        <v/>
      </c>
    </row>
    <row r="133">
      <c r="B133" s="34" t="inlineStr">
        <is>
          <t>2022-03-09</t>
        </is>
      </c>
      <c r="C133" s="35" t="n">
        <v>508111.3201481703</v>
      </c>
      <c r="D133" s="36">
        <f>IF(C132&gt;0,C133/C132-1,"")</f>
        <v/>
      </c>
      <c r="E133" s="36">
        <f>IF(D133="","",D133-$C$12)</f>
        <v/>
      </c>
      <c r="F133" s="35" t="n">
        <v>436513.5742378908</v>
      </c>
      <c r="G133" s="36">
        <f>IF(F132&gt;0,F133/F132-1,"")</f>
        <v/>
      </c>
      <c r="H133" s="36">
        <f>IF(G133="","",G133-$D$12)</f>
        <v/>
      </c>
    </row>
    <row r="134">
      <c r="B134" s="34" t="inlineStr">
        <is>
          <t>2022-03-10</t>
        </is>
      </c>
      <c r="C134" s="35" t="n">
        <v>507871.2834487871</v>
      </c>
      <c r="D134" s="36">
        <f>IF(C133&gt;0,C134/C133-1,"")</f>
        <v/>
      </c>
      <c r="E134" s="36">
        <f>IF(D134="","",D134-$C$12)</f>
        <v/>
      </c>
      <c r="F134" s="35" t="n">
        <v>436151.827427023</v>
      </c>
      <c r="G134" s="36">
        <f>IF(F133&gt;0,F134/F133-1,"")</f>
        <v/>
      </c>
      <c r="H134" s="36">
        <f>IF(G134="","",G134-$D$12)</f>
        <v/>
      </c>
    </row>
    <row r="135">
      <c r="B135" s="34" t="inlineStr">
        <is>
          <t>2022-03-11</t>
        </is>
      </c>
      <c r="C135" s="35" t="n">
        <v>508418.1343254861</v>
      </c>
      <c r="D135" s="36">
        <f>IF(C134&gt;0,C135/C134-1,"")</f>
        <v/>
      </c>
      <c r="E135" s="36">
        <f>IF(D135="","",D135-$C$12)</f>
        <v/>
      </c>
      <c r="F135" s="35" t="n">
        <v>437362.4813412349</v>
      </c>
      <c r="G135" s="36">
        <f>IF(F134&gt;0,F135/F134-1,"")</f>
        <v/>
      </c>
      <c r="H135" s="36">
        <f>IF(G135="","",G135-$D$12)</f>
        <v/>
      </c>
    </row>
    <row r="136">
      <c r="B136" s="34" t="inlineStr">
        <is>
          <t>2022-03-14</t>
        </is>
      </c>
      <c r="C136" s="35" t="n">
        <v>508057.1301081809</v>
      </c>
      <c r="D136" s="36">
        <f>IF(C135&gt;0,C136/C135-1,"")</f>
        <v/>
      </c>
      <c r="E136" s="36">
        <f>IF(D136="","",D136-$C$12)</f>
        <v/>
      </c>
      <c r="F136" s="35" t="n">
        <v>438284.842308441</v>
      </c>
      <c r="G136" s="36">
        <f>IF(F135&gt;0,F136/F135-1,"")</f>
        <v/>
      </c>
      <c r="H136" s="36">
        <f>IF(G136="","",G136-$D$12)</f>
        <v/>
      </c>
    </row>
    <row r="137">
      <c r="B137" s="34" t="inlineStr">
        <is>
          <t>2022-03-15</t>
        </is>
      </c>
      <c r="C137" s="35" t="n">
        <v>510604.2654055243</v>
      </c>
      <c r="D137" s="36">
        <f>IF(C136&gt;0,C137/C136-1,"")</f>
        <v/>
      </c>
      <c r="E137" s="36">
        <f>IF(D137="","",D137-$C$12)</f>
        <v/>
      </c>
      <c r="F137" s="35" t="n">
        <v>439862.060985098</v>
      </c>
      <c r="G137" s="36">
        <f>IF(F136&gt;0,F137/F136-1,"")</f>
        <v/>
      </c>
      <c r="H137" s="36">
        <f>IF(G137="","",G137-$D$12)</f>
        <v/>
      </c>
    </row>
    <row r="138">
      <c r="B138" s="34" t="inlineStr">
        <is>
          <t>2022-03-16</t>
        </is>
      </c>
      <c r="C138" s="35" t="n">
        <v>517343.9361888567</v>
      </c>
      <c r="D138" s="36">
        <f>IF(C137&gt;0,C138/C137-1,"")</f>
        <v/>
      </c>
      <c r="E138" s="36">
        <f>IF(D138="","",D138-$C$12)</f>
        <v/>
      </c>
      <c r="F138" s="35" t="n">
        <v>444789.1103707327</v>
      </c>
      <c r="G138" s="36">
        <f>IF(F137&gt;0,F138/F137-1,"")</f>
        <v/>
      </c>
      <c r="H138" s="36">
        <f>IF(G138="","",G138-$D$12)</f>
        <v/>
      </c>
    </row>
    <row r="139">
      <c r="B139" s="34" t="inlineStr">
        <is>
          <t>2022-03-17</t>
        </is>
      </c>
      <c r="C139" s="35" t="n">
        <v>521483.3314186203</v>
      </c>
      <c r="D139" s="36">
        <f>IF(C138&gt;0,C139/C138-1,"")</f>
        <v/>
      </c>
      <c r="E139" s="36">
        <f>IF(D139="","",D139-$C$12)</f>
        <v/>
      </c>
      <c r="F139" s="35" t="n">
        <v>448263.9484214761</v>
      </c>
      <c r="G139" s="36">
        <f>IF(F138&gt;0,F139/F138-1,"")</f>
        <v/>
      </c>
      <c r="H139" s="36">
        <f>IF(G139="","",G139-$D$12)</f>
        <v/>
      </c>
    </row>
    <row r="140">
      <c r="B140" s="34" t="inlineStr">
        <is>
          <t>2022-03-18</t>
        </is>
      </c>
      <c r="C140" s="35" t="n">
        <v>525151.2515081227</v>
      </c>
      <c r="D140" s="36">
        <f>IF(C139&gt;0,C140/C139-1,"")</f>
        <v/>
      </c>
      <c r="E140" s="36">
        <f>IF(D140="","",D140-$C$12)</f>
        <v/>
      </c>
      <c r="F140" s="35" t="n">
        <v>450525.9816963052</v>
      </c>
      <c r="G140" s="36">
        <f>IF(F139&gt;0,F140/F139-1,"")</f>
        <v/>
      </c>
      <c r="H140" s="36">
        <f>IF(G140="","",G140-$D$12)</f>
        <v/>
      </c>
    </row>
    <row r="141">
      <c r="B141" s="34" t="inlineStr">
        <is>
          <t>2022-03-21</t>
        </is>
      </c>
      <c r="C141" s="35" t="n">
        <v>525528.9334067847</v>
      </c>
      <c r="D141" s="36">
        <f>IF(C140&gt;0,C141/C140-1,"")</f>
        <v/>
      </c>
      <c r="E141" s="36">
        <f>IF(D141="","",D141-$C$12)</f>
        <v/>
      </c>
      <c r="F141" s="35" t="n">
        <v>450482.68810642</v>
      </c>
      <c r="G141" s="36">
        <f>IF(F140&gt;0,F141/F140-1,"")</f>
        <v/>
      </c>
      <c r="H141" s="36">
        <f>IF(G141="","",G141-$D$12)</f>
        <v/>
      </c>
    </row>
    <row r="142">
      <c r="B142" s="34" t="inlineStr">
        <is>
          <t>2022-03-22</t>
        </is>
      </c>
      <c r="C142" s="35" t="n">
        <v>528287.8909504224</v>
      </c>
      <c r="D142" s="36">
        <f>IF(C141&gt;0,C142/C141-1,"")</f>
        <v/>
      </c>
      <c r="E142" s="36">
        <f>IF(D142="","",D142-$C$12)</f>
        <v/>
      </c>
      <c r="F142" s="35" t="n">
        <v>452475.0521719233</v>
      </c>
      <c r="G142" s="36">
        <f>IF(F141&gt;0,F142/F141-1,"")</f>
        <v/>
      </c>
      <c r="H142" s="36">
        <f>IF(G142="","",G142-$D$12)</f>
        <v/>
      </c>
    </row>
    <row r="143">
      <c r="B143" s="34" t="inlineStr">
        <is>
          <t>2022-03-23</t>
        </is>
      </c>
      <c r="C143" s="35" t="n">
        <v>525957.4133033419</v>
      </c>
      <c r="D143" s="36">
        <f>IF(C142&gt;0,C143/C142-1,"")</f>
        <v/>
      </c>
      <c r="E143" s="36">
        <f>IF(D143="","",D143-$C$12)</f>
        <v/>
      </c>
      <c r="F143" s="35" t="n">
        <v>450517.9880876661</v>
      </c>
      <c r="G143" s="36">
        <f>IF(F142&gt;0,F143/F142-1,"")</f>
        <v/>
      </c>
      <c r="H143" s="36">
        <f>IF(G143="","",G143-$D$12)</f>
        <v/>
      </c>
    </row>
    <row r="144">
      <c r="B144" s="34" t="inlineStr">
        <is>
          <t>2022-03-24</t>
        </is>
      </c>
      <c r="C144" s="35" t="n">
        <v>529048.5510735391</v>
      </c>
      <c r="D144" s="36">
        <f>IF(C143&gt;0,C144/C143-1,"")</f>
        <v/>
      </c>
      <c r="E144" s="36">
        <f>IF(D144="","",D144-$C$12)</f>
        <v/>
      </c>
      <c r="F144" s="35" t="n">
        <v>452176.0268668459</v>
      </c>
      <c r="G144" s="36">
        <f>IF(F143&gt;0,F144/F143-1,"")</f>
        <v/>
      </c>
      <c r="H144" s="36">
        <f>IF(G144="","",G144-$D$12)</f>
        <v/>
      </c>
    </row>
    <row r="145">
      <c r="B145" s="34" t="inlineStr">
        <is>
          <t>2022-03-25</t>
        </is>
      </c>
      <c r="C145" s="35" t="n">
        <v>528666.3209814887</v>
      </c>
      <c r="D145" s="36">
        <f>IF(C144&gt;0,C145/C144-1,"")</f>
        <v/>
      </c>
      <c r="E145" s="36">
        <f>IF(D145="","",D145-$C$12)</f>
        <v/>
      </c>
      <c r="F145" s="35" t="n">
        <v>451953.6285625535</v>
      </c>
      <c r="G145" s="36">
        <f>IF(F144&gt;0,F145/F144-1,"")</f>
        <v/>
      </c>
      <c r="H145" s="36">
        <f>IF(G145="","",G145-$D$12)</f>
        <v/>
      </c>
    </row>
    <row r="146">
      <c r="B146" s="34" t="inlineStr">
        <is>
          <t>2022-03-28</t>
        </is>
      </c>
      <c r="C146" s="35" t="n">
        <v>530492.3896575703</v>
      </c>
      <c r="D146" s="36">
        <f>IF(C145&gt;0,C146/C145-1,"")</f>
        <v/>
      </c>
      <c r="E146" s="36">
        <f>IF(D146="","",D146-$C$12)</f>
        <v/>
      </c>
      <c r="F146" s="35" t="n">
        <v>453420.5654297185</v>
      </c>
      <c r="G146" s="36">
        <f>IF(F145&gt;0,F146/F145-1,"")</f>
        <v/>
      </c>
      <c r="H146" s="36">
        <f>IF(G146="","",G146-$D$12)</f>
        <v/>
      </c>
    </row>
    <row r="147">
      <c r="B147" s="34" t="inlineStr">
        <is>
          <t>2022-03-29</t>
        </is>
      </c>
      <c r="C147" s="35" t="n">
        <v>533371.0699624727</v>
      </c>
      <c r="D147" s="36">
        <f>IF(C146&gt;0,C147/C146-1,"")</f>
        <v/>
      </c>
      <c r="E147" s="36">
        <f>IF(D147="","",D147-$C$12)</f>
        <v/>
      </c>
      <c r="F147" s="35" t="n">
        <v>455642.7520345353</v>
      </c>
      <c r="G147" s="36">
        <f>IF(F146&gt;0,F147/F146-1,"")</f>
        <v/>
      </c>
      <c r="H147" s="36">
        <f>IF(G147="","",G147-$D$12)</f>
        <v/>
      </c>
    </row>
    <row r="148">
      <c r="B148" s="34" t="inlineStr">
        <is>
          <t>2022-03-30</t>
        </is>
      </c>
      <c r="C148" s="35" t="n">
        <v>531355.030748446</v>
      </c>
      <c r="D148" s="36">
        <f>IF(C147&gt;0,C148/C147-1,"")</f>
        <v/>
      </c>
      <c r="E148" s="36">
        <f>IF(D148="","",D148-$C$12)</f>
        <v/>
      </c>
      <c r="F148" s="35" t="n">
        <v>453570.1773873364</v>
      </c>
      <c r="G148" s="36">
        <f>IF(F147&gt;0,F148/F147-1,"")</f>
        <v/>
      </c>
      <c r="H148" s="36">
        <f>IF(G148="","",G148-$D$12)</f>
        <v/>
      </c>
    </row>
    <row r="149">
      <c r="B149" s="34" t="inlineStr">
        <is>
          <t>2022-03-31</t>
        </is>
      </c>
      <c r="C149" s="35" t="n">
        <v>527339.0639818049</v>
      </c>
      <c r="D149" s="36">
        <f>IF(C148&gt;0,C149/C148-1,"")</f>
        <v/>
      </c>
      <c r="E149" s="36">
        <f>IF(D149="","",D149-$C$12)</f>
        <v/>
      </c>
      <c r="F149" s="35" t="n">
        <v>450885.9791429143</v>
      </c>
      <c r="G149" s="36">
        <f>IF(F148&gt;0,F149/F148-1,"")</f>
        <v/>
      </c>
      <c r="H149" s="36">
        <f>IF(G149="","",G149-$D$12)</f>
        <v/>
      </c>
    </row>
    <row r="150">
      <c r="B150" s="34" t="inlineStr">
        <is>
          <t>2022-04-01</t>
        </is>
      </c>
      <c r="C150" s="35" t="n">
        <v>528730.1823222134</v>
      </c>
      <c r="D150" s="36">
        <f>IF(C149&gt;0,C150/C149-1,"")</f>
        <v/>
      </c>
      <c r="E150" s="36">
        <f>IF(D150="","",D150-$C$12)</f>
        <v/>
      </c>
      <c r="F150" s="35" t="n">
        <v>451897.4845706338</v>
      </c>
      <c r="G150" s="36">
        <f>IF(F149&gt;0,F150/F149-1,"")</f>
        <v/>
      </c>
      <c r="H150" s="36">
        <f>IF(G150="","",G150-$D$12)</f>
        <v/>
      </c>
    </row>
    <row r="151">
      <c r="B151" s="34" t="inlineStr">
        <is>
          <t>2022-04-04</t>
        </is>
      </c>
      <c r="C151" s="35" t="n">
        <v>531815.9529580504</v>
      </c>
      <c r="D151" s="36">
        <f>IF(C150&gt;0,C151/C150-1,"")</f>
        <v/>
      </c>
      <c r="E151" s="36">
        <f>IF(D151="","",D151-$C$12)</f>
        <v/>
      </c>
      <c r="F151" s="35" t="n">
        <v>453930.512778034</v>
      </c>
      <c r="G151" s="36">
        <f>IF(F150&gt;0,F151/F150-1,"")</f>
        <v/>
      </c>
      <c r="H151" s="36">
        <f>IF(G151="","",G151-$D$12)</f>
        <v/>
      </c>
    </row>
    <row r="152">
      <c r="B152" s="34" t="inlineStr">
        <is>
          <t>2022-04-05</t>
        </is>
      </c>
      <c r="C152" s="35" t="n">
        <v>530969.4671823705</v>
      </c>
      <c r="D152" s="36">
        <f>IF(C151&gt;0,C152/C151-1,"")</f>
        <v/>
      </c>
      <c r="E152" s="36">
        <f>IF(D152="","",D152-$C$12)</f>
        <v/>
      </c>
      <c r="F152" s="35" t="n">
        <v>453569.9305775919</v>
      </c>
      <c r="G152" s="36">
        <f>IF(F151&gt;0,F152/F151-1,"")</f>
        <v/>
      </c>
      <c r="H152" s="36">
        <f>IF(G152="","",G152-$D$12)</f>
        <v/>
      </c>
    </row>
    <row r="153">
      <c r="B153" s="34" t="inlineStr">
        <is>
          <t>2022-04-06</t>
        </is>
      </c>
      <c r="C153" s="35" t="n">
        <v>527329.1633472131</v>
      </c>
      <c r="D153" s="36">
        <f>IF(C152&gt;0,C153/C152-1,"")</f>
        <v/>
      </c>
      <c r="E153" s="36">
        <f>IF(D153="","",D153-$C$12)</f>
        <v/>
      </c>
      <c r="F153" s="35" t="n">
        <v>451042.8481017245</v>
      </c>
      <c r="G153" s="36">
        <f>IF(F152&gt;0,F153/F152-1,"")</f>
        <v/>
      </c>
      <c r="H153" s="36">
        <f>IF(G153="","",G153-$D$12)</f>
        <v/>
      </c>
    </row>
    <row r="154">
      <c r="B154" s="34" t="inlineStr">
        <is>
          <t>2022-04-07</t>
        </is>
      </c>
      <c r="C154" s="35" t="n">
        <v>528205.7431969846</v>
      </c>
      <c r="D154" s="36">
        <f>IF(C153&gt;0,C154/C153-1,"")</f>
        <v/>
      </c>
      <c r="E154" s="36">
        <f>IF(D154="","",D154-$C$12)</f>
        <v/>
      </c>
      <c r="F154" s="35" t="n">
        <v>451820.4350354103</v>
      </c>
      <c r="G154" s="36">
        <f>IF(F153&gt;0,F154/F153-1,"")</f>
        <v/>
      </c>
      <c r="H154" s="36">
        <f>IF(G154="","",G154-$D$12)</f>
        <v/>
      </c>
    </row>
    <row r="155">
      <c r="B155" s="34" t="inlineStr">
        <is>
          <t>2022-04-08</t>
        </is>
      </c>
      <c r="C155" s="35" t="n">
        <v>529037.9463426452</v>
      </c>
      <c r="D155" s="36">
        <f>IF(C154&gt;0,C155/C154-1,"")</f>
        <v/>
      </c>
      <c r="E155" s="36">
        <f>IF(D155="","",D155-$C$12)</f>
        <v/>
      </c>
      <c r="F155" s="35" t="n">
        <v>452700.3228015303</v>
      </c>
      <c r="G155" s="36">
        <f>IF(F154&gt;0,F155/F154-1,"")</f>
        <v/>
      </c>
      <c r="H155" s="36">
        <f>IF(G155="","",G155-$D$12)</f>
        <v/>
      </c>
    </row>
    <row r="156">
      <c r="B156" s="34" t="inlineStr">
        <is>
          <t>2022-04-11</t>
        </is>
      </c>
      <c r="C156" s="35" t="n">
        <v>524865.2968612659</v>
      </c>
      <c r="D156" s="36">
        <f>IF(C155&gt;0,C156/C155-1,"")</f>
        <v/>
      </c>
      <c r="E156" s="36">
        <f>IF(D156="","",D156-$C$12)</f>
        <v/>
      </c>
      <c r="F156" s="35" t="n">
        <v>450241.4367127083</v>
      </c>
      <c r="G156" s="36">
        <f>IF(F155&gt;0,F156/F155-1,"")</f>
        <v/>
      </c>
      <c r="H156" s="36">
        <f>IF(G156="","",G156-$D$12)</f>
        <v/>
      </c>
    </row>
    <row r="157">
      <c r="B157" s="34" t="inlineStr">
        <is>
          <t>2022-04-12</t>
        </is>
      </c>
      <c r="C157" s="35" t="n">
        <v>522418.6165829527</v>
      </c>
      <c r="D157" s="36">
        <f>IF(C156&gt;0,C157/C156-1,"")</f>
        <v/>
      </c>
      <c r="E157" s="36">
        <f>IF(D157="","",D157-$C$12)</f>
        <v/>
      </c>
      <c r="F157" s="35" t="n">
        <v>448588.0469072047</v>
      </c>
      <c r="G157" s="36">
        <f>IF(F156&gt;0,F157/F156-1,"")</f>
        <v/>
      </c>
      <c r="H157" s="36">
        <f>IF(G157="","",G157-$D$12)</f>
        <v/>
      </c>
    </row>
    <row r="158">
      <c r="B158" s="34" t="inlineStr">
        <is>
          <t>2022-04-13</t>
        </is>
      </c>
      <c r="C158" s="35" t="n">
        <v>526116.4375851353</v>
      </c>
      <c r="D158" s="36">
        <f>IF(C157&gt;0,C158/C157-1,"")</f>
        <v/>
      </c>
      <c r="E158" s="36">
        <f>IF(D158="","",D158-$C$12)</f>
        <v/>
      </c>
      <c r="F158" s="35" t="n">
        <v>450942.9507251563</v>
      </c>
      <c r="G158" s="36">
        <f>IF(F157&gt;0,F158/F157-1,"")</f>
        <v/>
      </c>
      <c r="H158" s="36">
        <f>IF(G158="","",G158-$D$12)</f>
        <v/>
      </c>
    </row>
    <row r="159">
      <c r="B159" s="34" t="inlineStr">
        <is>
          <t>2022-04-14</t>
        </is>
      </c>
      <c r="C159" s="35" t="n">
        <v>526327.173348208</v>
      </c>
      <c r="D159" s="36">
        <f>IF(C158&gt;0,C159/C158-1,"")</f>
        <v/>
      </c>
      <c r="E159" s="36">
        <f>IF(D159="","",D159-$C$12)</f>
        <v/>
      </c>
      <c r="F159" s="35" t="n">
        <v>451743.7798165588</v>
      </c>
      <c r="G159" s="36">
        <f>IF(F158&gt;0,F159/F158-1,"")</f>
        <v/>
      </c>
      <c r="H159" s="36">
        <f>IF(G159="","",G159-$D$12)</f>
        <v/>
      </c>
    </row>
    <row r="160">
      <c r="B160" s="34" t="inlineStr">
        <is>
          <t>2022-04-18</t>
        </is>
      </c>
      <c r="C160" s="35" t="n">
        <v>527222.8114590903</v>
      </c>
      <c r="D160" s="36">
        <f>IF(C159&gt;0,C160/C159-1,"")</f>
        <v/>
      </c>
      <c r="E160" s="36">
        <f>IF(D160="","",D160-$C$12)</f>
        <v/>
      </c>
      <c r="F160" s="35" t="n">
        <v>452001.5064232794</v>
      </c>
      <c r="G160" s="36">
        <f>IF(F159&gt;0,F160/F159-1,"")</f>
        <v/>
      </c>
      <c r="H160" s="36">
        <f>IF(G160="","",G160-$D$12)</f>
        <v/>
      </c>
    </row>
    <row r="161">
      <c r="B161" s="34" t="inlineStr">
        <is>
          <t>2022-04-19</t>
        </is>
      </c>
      <c r="C161" s="35" t="n">
        <v>526912.3702472487</v>
      </c>
      <c r="D161" s="36">
        <f>IF(C160&gt;0,C161/C160-1,"")</f>
        <v/>
      </c>
      <c r="E161" s="36">
        <f>IF(D161="","",D161-$C$12)</f>
        <v/>
      </c>
      <c r="F161" s="35" t="n">
        <v>451771.9237652104</v>
      </c>
      <c r="G161" s="36">
        <f>IF(F160&gt;0,F161/F160-1,"")</f>
        <v/>
      </c>
      <c r="H161" s="36">
        <f>IF(G161="","",G161-$D$12)</f>
        <v/>
      </c>
    </row>
    <row r="162">
      <c r="B162" s="34" t="inlineStr">
        <is>
          <t>2022-04-20</t>
        </is>
      </c>
      <c r="C162" s="35" t="n">
        <v>525590.8743032475</v>
      </c>
      <c r="D162" s="36">
        <f>IF(C161&gt;0,C162/C161-1,"")</f>
        <v/>
      </c>
      <c r="E162" s="36">
        <f>IF(D162="","",D162-$C$12)</f>
        <v/>
      </c>
      <c r="F162" s="35" t="n">
        <v>451513.9656461683</v>
      </c>
      <c r="G162" s="36">
        <f>IF(F161&gt;0,F162/F161-1,"")</f>
        <v/>
      </c>
      <c r="H162" s="36">
        <f>IF(G162="","",G162-$D$12)</f>
        <v/>
      </c>
    </row>
    <row r="163">
      <c r="B163" s="34" t="inlineStr">
        <is>
          <t>2022-04-21</t>
        </is>
      </c>
      <c r="C163" s="35" t="n">
        <v>523572.5203293738</v>
      </c>
      <c r="D163" s="36">
        <f>IF(C162&gt;0,C163/C162-1,"")</f>
        <v/>
      </c>
      <c r="E163" s="36">
        <f>IF(D163="","",D163-$C$12)</f>
        <v/>
      </c>
      <c r="F163" s="35" t="n">
        <v>450699.0055446888</v>
      </c>
      <c r="G163" s="36">
        <f>IF(F162&gt;0,F163/F162-1,"")</f>
        <v/>
      </c>
      <c r="H163" s="36">
        <f>IF(G163="","",G163-$D$12)</f>
        <v/>
      </c>
    </row>
    <row r="164">
      <c r="B164" s="34" t="inlineStr">
        <is>
          <t>2022-04-22</t>
        </is>
      </c>
      <c r="C164" s="35" t="n">
        <v>518509.8433589829</v>
      </c>
      <c r="D164" s="36">
        <f>IF(C163&gt;0,C164/C163-1,"")</f>
        <v/>
      </c>
      <c r="E164" s="36">
        <f>IF(D164="","",D164-$C$12)</f>
        <v/>
      </c>
      <c r="F164" s="35" t="n">
        <v>447339.2190489715</v>
      </c>
      <c r="G164" s="36">
        <f>IF(F163&gt;0,F164/F163-1,"")</f>
        <v/>
      </c>
      <c r="H164" s="36">
        <f>IF(G164="","",G164-$D$12)</f>
        <v/>
      </c>
    </row>
    <row r="165">
      <c r="B165" s="34" t="inlineStr">
        <is>
          <t>2022-04-25</t>
        </is>
      </c>
      <c r="C165" s="35" t="n">
        <v>516812.2183784873</v>
      </c>
      <c r="D165" s="36">
        <f>IF(C164&gt;0,C165/C164-1,"")</f>
        <v/>
      </c>
      <c r="E165" s="36">
        <f>IF(D165="","",D165-$C$12)</f>
        <v/>
      </c>
      <c r="F165" s="35" t="n">
        <v>445209.333343228</v>
      </c>
      <c r="G165" s="36">
        <f>IF(F164&gt;0,F165/F164-1,"")</f>
        <v/>
      </c>
      <c r="H165" s="36">
        <f>IF(G165="","",G165-$D$12)</f>
        <v/>
      </c>
    </row>
    <row r="166">
      <c r="B166" s="34" t="inlineStr">
        <is>
          <t>2022-04-26</t>
        </is>
      </c>
      <c r="C166" s="35" t="n">
        <v>510773.9037362469</v>
      </c>
      <c r="D166" s="36">
        <f>IF(C165&gt;0,C166/C165-1,"")</f>
        <v/>
      </c>
      <c r="E166" s="36">
        <f>IF(D166="","",D166-$C$12)</f>
        <v/>
      </c>
      <c r="F166" s="35" t="n">
        <v>440862.8690467049</v>
      </c>
      <c r="G166" s="36">
        <f>IF(F165&gt;0,F166/F165-1,"")</f>
        <v/>
      </c>
      <c r="H166" s="36">
        <f>IF(G166="","",G166-$D$12)</f>
        <v/>
      </c>
    </row>
    <row r="167">
      <c r="B167" s="34" t="inlineStr">
        <is>
          <t>2022-04-27</t>
        </is>
      </c>
      <c r="C167" s="35" t="n">
        <v>510355.1628194559</v>
      </c>
      <c r="D167" s="36">
        <f>IF(C166&gt;0,C167/C166-1,"")</f>
        <v/>
      </c>
      <c r="E167" s="36">
        <f>IF(D167="","",D167-$C$12)</f>
        <v/>
      </c>
      <c r="F167" s="35" t="n">
        <v>441050.4379425051</v>
      </c>
      <c r="G167" s="36">
        <f>IF(F166&gt;0,F167/F166-1,"")</f>
        <v/>
      </c>
      <c r="H167" s="36">
        <f>IF(G167="","",G167-$D$12)</f>
        <v/>
      </c>
    </row>
    <row r="168">
      <c r="B168" s="34" t="inlineStr">
        <is>
          <t>2022-04-28</t>
        </is>
      </c>
      <c r="C168" s="35" t="n">
        <v>514074.2859079085</v>
      </c>
      <c r="D168" s="36">
        <f>IF(C167&gt;0,C168/C167-1,"")</f>
        <v/>
      </c>
      <c r="E168" s="36">
        <f>IF(D168="","",D168-$C$12)</f>
        <v/>
      </c>
      <c r="F168" s="35" t="n">
        <v>443428.6005058901</v>
      </c>
      <c r="G168" s="36">
        <f>IF(F167&gt;0,F168/F167-1,"")</f>
        <v/>
      </c>
      <c r="H168" s="36">
        <f>IF(G168="","",G168-$D$12)</f>
        <v/>
      </c>
    </row>
    <row r="169">
      <c r="B169" s="34" t="inlineStr">
        <is>
          <t>2022-04-29</t>
        </is>
      </c>
      <c r="C169" s="35" t="n">
        <v>513098.0713780308</v>
      </c>
      <c r="D169" s="36">
        <f>IF(C168&gt;0,C169/C168-1,"")</f>
        <v/>
      </c>
      <c r="E169" s="36">
        <f>IF(D169="","",D169-$C$12)</f>
        <v/>
      </c>
      <c r="F169" s="35" t="n">
        <v>443681.2030485872</v>
      </c>
      <c r="G169" s="36">
        <f>IF(F168&gt;0,F169/F168-1,"")</f>
        <v/>
      </c>
      <c r="H169" s="36">
        <f>IF(G169="","",G169-$D$12)</f>
        <v/>
      </c>
    </row>
    <row r="170">
      <c r="B170" s="34" t="inlineStr">
        <is>
          <t>2022-05-02</t>
        </is>
      </c>
      <c r="C170" s="35" t="n">
        <v>513078.0128570234</v>
      </c>
      <c r="D170" s="36">
        <f>IF(C169&gt;0,C170/C169-1,"")</f>
        <v/>
      </c>
      <c r="E170" s="36">
        <f>IF(D170="","",D170-$C$12)</f>
        <v/>
      </c>
      <c r="F170" s="35" t="n">
        <v>442842.974995588</v>
      </c>
      <c r="G170" s="36">
        <f>IF(F169&gt;0,F170/F169-1,"")</f>
        <v/>
      </c>
      <c r="H170" s="36">
        <f>IF(G170="","",G170-$D$12)</f>
        <v/>
      </c>
    </row>
    <row r="171">
      <c r="B171" s="34" t="inlineStr">
        <is>
          <t>2022-05-03</t>
        </is>
      </c>
      <c r="C171" s="35" t="n">
        <v>515027.7807871738</v>
      </c>
      <c r="D171" s="36">
        <f>IF(C170&gt;0,C171/C170-1,"")</f>
        <v/>
      </c>
      <c r="E171" s="36">
        <f>IF(D171="","",D171-$C$12)</f>
        <v/>
      </c>
      <c r="F171" s="35" t="n">
        <v>443882.0088028351</v>
      </c>
      <c r="G171" s="36">
        <f>IF(F170&gt;0,F171/F170-1,"")</f>
        <v/>
      </c>
      <c r="H171" s="36">
        <f>IF(G171="","",G171-$D$12)</f>
        <v/>
      </c>
    </row>
    <row r="172">
      <c r="B172" s="34" t="inlineStr">
        <is>
          <t>2022-05-04</t>
        </is>
      </c>
      <c r="C172" s="35" t="n">
        <v>516833.3284063452</v>
      </c>
      <c r="D172" s="36">
        <f>IF(C171&gt;0,C172/C171-1,"")</f>
        <v/>
      </c>
      <c r="E172" s="36">
        <f>IF(D172="","",D172-$C$12)</f>
        <v/>
      </c>
      <c r="F172" s="35" t="n">
        <v>444331.940278654</v>
      </c>
      <c r="G172" s="36">
        <f>IF(F171&gt;0,F172/F171-1,"")</f>
        <v/>
      </c>
      <c r="H172" s="36">
        <f>IF(G172="","",G172-$D$12)</f>
        <v/>
      </c>
    </row>
    <row r="173">
      <c r="B173" s="34" t="inlineStr">
        <is>
          <t>2022-05-05</t>
        </is>
      </c>
      <c r="C173" s="35" t="n">
        <v>513947.6307987739</v>
      </c>
      <c r="D173" s="36">
        <f>IF(C172&gt;0,C173/C172-1,"")</f>
        <v/>
      </c>
      <c r="E173" s="36">
        <f>IF(D173="","",D173-$C$12)</f>
        <v/>
      </c>
      <c r="F173" s="35" t="n">
        <v>442848.9917111528</v>
      </c>
      <c r="G173" s="36">
        <f>IF(F172&gt;0,F173/F172-1,"")</f>
        <v/>
      </c>
      <c r="H173" s="36">
        <f>IF(G173="","",G173-$D$12)</f>
        <v/>
      </c>
    </row>
    <row r="174">
      <c r="B174" s="34" t="inlineStr">
        <is>
          <t>2022-05-06</t>
        </is>
      </c>
      <c r="C174" s="35" t="n">
        <v>510561.916927506</v>
      </c>
      <c r="D174" s="36">
        <f>IF(C173&gt;0,C174/C173-1,"")</f>
        <v/>
      </c>
      <c r="E174" s="36">
        <f>IF(D174="","",D174-$C$12)</f>
        <v/>
      </c>
      <c r="F174" s="35" t="n">
        <v>439529.2345564828</v>
      </c>
      <c r="G174" s="36">
        <f>IF(F173&gt;0,F174/F173-1,"")</f>
        <v/>
      </c>
      <c r="H174" s="36">
        <f>IF(G174="","",G174-$D$12)</f>
        <v/>
      </c>
    </row>
    <row r="175">
      <c r="B175" s="34" t="inlineStr">
        <is>
          <t>2022-05-09</t>
        </is>
      </c>
      <c r="C175" s="35" t="n">
        <v>501935.6261003932</v>
      </c>
      <c r="D175" s="36">
        <f>IF(C174&gt;0,C175/C174-1,"")</f>
        <v/>
      </c>
      <c r="E175" s="36">
        <f>IF(D175="","",D175-$C$12)</f>
        <v/>
      </c>
      <c r="F175" s="35" t="n">
        <v>433190.0658792622</v>
      </c>
      <c r="G175" s="36">
        <f>IF(F174&gt;0,F175/F174-1,"")</f>
        <v/>
      </c>
      <c r="H175" s="36">
        <f>IF(G175="","",G175-$D$12)</f>
        <v/>
      </c>
    </row>
    <row r="176">
      <c r="B176" s="34" t="inlineStr">
        <is>
          <t>2022-05-10</t>
        </is>
      </c>
      <c r="C176" s="35" t="n">
        <v>504903.9201905978</v>
      </c>
      <c r="D176" s="36">
        <f>IF(C175&gt;0,C176/C175-1,"")</f>
        <v/>
      </c>
      <c r="E176" s="36">
        <f>IF(D176="","",D176-$C$12)</f>
        <v/>
      </c>
      <c r="F176" s="35" t="n">
        <v>435127.6691535399</v>
      </c>
      <c r="G176" s="36">
        <f>IF(F175&gt;0,F176/F175-1,"")</f>
        <v/>
      </c>
      <c r="H176" s="36">
        <f>IF(G176="","",G176-$D$12)</f>
        <v/>
      </c>
    </row>
    <row r="177">
      <c r="B177" s="34" t="inlineStr">
        <is>
          <t>2022-05-11</t>
        </is>
      </c>
      <c r="C177" s="35" t="n">
        <v>503159.1158025934</v>
      </c>
      <c r="D177" s="36">
        <f>IF(C176&gt;0,C177/C176-1,"")</f>
        <v/>
      </c>
      <c r="E177" s="36">
        <f>IF(D177="","",D177-$C$12)</f>
        <v/>
      </c>
      <c r="F177" s="35" t="n">
        <v>433975.0947818419</v>
      </c>
      <c r="G177" s="36">
        <f>IF(F176&gt;0,F177/F176-1,"")</f>
        <v/>
      </c>
      <c r="H177" s="36">
        <f>IF(G177="","",G177-$D$12)</f>
        <v/>
      </c>
    </row>
    <row r="178">
      <c r="B178" s="34" t="inlineStr">
        <is>
          <t>2022-05-12</t>
        </is>
      </c>
      <c r="C178" s="35" t="n">
        <v>502634.0238650202</v>
      </c>
      <c r="D178" s="36">
        <f>IF(C177&gt;0,C178/C177-1,"")</f>
        <v/>
      </c>
      <c r="E178" s="36">
        <f>IF(D178="","",D178-$C$12)</f>
        <v/>
      </c>
      <c r="F178" s="35" t="n">
        <v>433089.1569662899</v>
      </c>
      <c r="G178" s="36">
        <f>IF(F177&gt;0,F178/F177-1,"")</f>
        <v/>
      </c>
      <c r="H178" s="36">
        <f>IF(G178="","",G178-$D$12)</f>
        <v/>
      </c>
    </row>
    <row r="179">
      <c r="B179" s="34" t="inlineStr">
        <is>
          <t>2022-05-13</t>
        </is>
      </c>
      <c r="C179" s="35" t="n">
        <v>508248.0685920609</v>
      </c>
      <c r="D179" s="36">
        <f>IF(C178&gt;0,C179/C178-1,"")</f>
        <v/>
      </c>
      <c r="E179" s="36">
        <f>IF(D179="","",D179-$C$12)</f>
        <v/>
      </c>
      <c r="F179" s="35" t="n">
        <v>437389.0922357848</v>
      </c>
      <c r="G179" s="36">
        <f>IF(F178&gt;0,F179/F178-1,"")</f>
        <v/>
      </c>
      <c r="H179" s="36">
        <f>IF(G179="","",G179-$D$12)</f>
        <v/>
      </c>
    </row>
    <row r="180">
      <c r="B180" s="34" t="inlineStr">
        <is>
          <t>2022-05-16</t>
        </is>
      </c>
      <c r="C180" s="35" t="n">
        <v>507769.7238474006</v>
      </c>
      <c r="D180" s="36">
        <f>IF(C179&gt;0,C180/C179-1,"")</f>
        <v/>
      </c>
      <c r="E180" s="36">
        <f>IF(D180="","",D180-$C$12)</f>
        <v/>
      </c>
      <c r="F180" s="35" t="n">
        <v>437806.0053011057</v>
      </c>
      <c r="G180" s="36">
        <f>IF(F179&gt;0,F180/F179-1,"")</f>
        <v/>
      </c>
      <c r="H180" s="36">
        <f>IF(G180="","",G180-$D$12)</f>
        <v/>
      </c>
    </row>
    <row r="181">
      <c r="B181" s="34" t="inlineStr">
        <is>
          <t>2022-05-17</t>
        </is>
      </c>
      <c r="C181" s="35" t="n">
        <v>510127.0539099662</v>
      </c>
      <c r="D181" s="36">
        <f>IF(C180&gt;0,C181/C180-1,"")</f>
        <v/>
      </c>
      <c r="E181" s="36">
        <f>IF(D181="","",D181-$C$12)</f>
        <v/>
      </c>
      <c r="F181" s="35" t="n">
        <v>439595.4342709805</v>
      </c>
      <c r="G181" s="36">
        <f>IF(F180&gt;0,F181/F180-1,"")</f>
        <v/>
      </c>
      <c r="H181" s="36">
        <f>IF(G181="","",G181-$D$12)</f>
        <v/>
      </c>
    </row>
    <row r="182">
      <c r="B182" s="34" t="inlineStr">
        <is>
          <t>2022-05-18</t>
        </is>
      </c>
      <c r="C182" s="35" t="n">
        <v>503552.3326675496</v>
      </c>
      <c r="D182" s="36">
        <f>IF(C181&gt;0,C182/C181-1,"")</f>
        <v/>
      </c>
      <c r="E182" s="36">
        <f>IF(D182="","",D182-$C$12)</f>
        <v/>
      </c>
      <c r="F182" s="35" t="n">
        <v>435061.2039390519</v>
      </c>
      <c r="G182" s="36">
        <f>IF(F181&gt;0,F182/F181-1,"")</f>
        <v/>
      </c>
      <c r="H182" s="36">
        <f>IF(G182="","",G182-$D$12)</f>
        <v/>
      </c>
    </row>
    <row r="183">
      <c r="B183" s="34" t="inlineStr">
        <is>
          <t>2022-05-19</t>
        </is>
      </c>
      <c r="C183" s="35" t="n">
        <v>495449.4020983518</v>
      </c>
      <c r="D183" s="36">
        <f>IF(C182&gt;0,C183/C182-1,"")</f>
        <v/>
      </c>
      <c r="E183" s="36">
        <f>IF(D183="","",D183-$C$12)</f>
        <v/>
      </c>
      <c r="F183" s="35" t="n">
        <v>429082.1375933195</v>
      </c>
      <c r="G183" s="36">
        <f>IF(F182&gt;0,F183/F182-1,"")</f>
        <v/>
      </c>
      <c r="H183" s="36">
        <f>IF(G183="","",G183-$D$12)</f>
        <v/>
      </c>
    </row>
    <row r="184">
      <c r="B184" s="34" t="inlineStr">
        <is>
          <t>2022-05-20</t>
        </is>
      </c>
      <c r="C184" s="35" t="n">
        <v>495797.0677123524</v>
      </c>
      <c r="D184" s="36">
        <f>IF(C183&gt;0,C184/C183-1,"")</f>
        <v/>
      </c>
      <c r="E184" s="36">
        <f>IF(D184="","",D184-$C$12)</f>
        <v/>
      </c>
      <c r="F184" s="35" t="n">
        <v>429743.0445188148</v>
      </c>
      <c r="G184" s="36">
        <f>IF(F183&gt;0,F184/F183-1,"")</f>
        <v/>
      </c>
      <c r="H184" s="36">
        <f>IF(G184="","",G184-$D$12)</f>
        <v/>
      </c>
    </row>
    <row r="185">
      <c r="B185" s="34" t="inlineStr">
        <is>
          <t>2022-05-23</t>
        </is>
      </c>
      <c r="C185" s="35" t="n">
        <v>499301.3777470634</v>
      </c>
      <c r="D185" s="36">
        <f>IF(C184&gt;0,C185/C184-1,"")</f>
        <v/>
      </c>
      <c r="E185" s="36">
        <f>IF(D185="","",D185-$C$12)</f>
        <v/>
      </c>
      <c r="F185" s="35" t="n">
        <v>432667.5524554303</v>
      </c>
      <c r="G185" s="36">
        <f>IF(F184&gt;0,F185/F184-1,"")</f>
        <v/>
      </c>
      <c r="H185" s="36">
        <f>IF(G185="","",G185-$D$12)</f>
        <v/>
      </c>
    </row>
    <row r="186">
      <c r="B186" s="34" t="inlineStr">
        <is>
          <t>2022-05-24</t>
        </is>
      </c>
      <c r="C186" s="35" t="n">
        <v>494794.3292893752</v>
      </c>
      <c r="D186" s="36">
        <f>IF(C185&gt;0,C186/C185-1,"")</f>
        <v/>
      </c>
      <c r="E186" s="36">
        <f>IF(D186="","",D186-$C$12)</f>
        <v/>
      </c>
      <c r="F186" s="35" t="n">
        <v>430369.6282518444</v>
      </c>
      <c r="G186" s="36">
        <f>IF(F185&gt;0,F186/F185-1,"")</f>
        <v/>
      </c>
      <c r="H186" s="36">
        <f>IF(G186="","",G186-$D$12)</f>
        <v/>
      </c>
    </row>
    <row r="187">
      <c r="B187" s="34" t="inlineStr">
        <is>
          <t>2022-05-25</t>
        </is>
      </c>
      <c r="C187" s="35" t="n">
        <v>495958.0959771115</v>
      </c>
      <c r="D187" s="36">
        <f>IF(C186&gt;0,C187/C186-1,"")</f>
        <v/>
      </c>
      <c r="E187" s="36">
        <f>IF(D187="","",D187-$C$12)</f>
        <v/>
      </c>
      <c r="F187" s="35" t="n">
        <v>431286.614604117</v>
      </c>
      <c r="G187" s="36">
        <f>IF(F186&gt;0,F187/F186-1,"")</f>
        <v/>
      </c>
      <c r="H187" s="36">
        <f>IF(G187="","",G187-$D$12)</f>
        <v/>
      </c>
    </row>
    <row r="188">
      <c r="B188" s="34" t="inlineStr">
        <is>
          <t>2022-05-26</t>
        </is>
      </c>
      <c r="C188" s="35" t="n">
        <v>497695.9703096312</v>
      </c>
      <c r="D188" s="36">
        <f>IF(C187&gt;0,C188/C187-1,"")</f>
        <v/>
      </c>
      <c r="E188" s="36">
        <f>IF(D188="","",D188-$C$12)</f>
        <v/>
      </c>
      <c r="F188" s="35" t="n">
        <v>432458.5503244295</v>
      </c>
      <c r="G188" s="36">
        <f>IF(F187&gt;0,F188/F187-1,"")</f>
        <v/>
      </c>
      <c r="H188" s="36">
        <f>IF(G188="","",G188-$D$12)</f>
        <v/>
      </c>
    </row>
    <row r="189">
      <c r="B189" s="34" t="inlineStr">
        <is>
          <t>2022-05-27</t>
        </is>
      </c>
      <c r="C189" s="35" t="n">
        <v>502159.7060025684</v>
      </c>
      <c r="D189" s="36">
        <f>IF(C188&gt;0,C189/C188-1,"")</f>
        <v/>
      </c>
      <c r="E189" s="36">
        <f>IF(D189="","",D189-$C$12)</f>
        <v/>
      </c>
      <c r="F189" s="35" t="n">
        <v>435623.1266905569</v>
      </c>
      <c r="G189" s="36">
        <f>IF(F188&gt;0,F189/F188-1,"")</f>
        <v/>
      </c>
      <c r="H189" s="36">
        <f>IF(G189="","",G189-$D$12)</f>
        <v/>
      </c>
    </row>
    <row r="190">
      <c r="B190" s="34" t="inlineStr">
        <is>
          <t>2022-05-30</t>
        </is>
      </c>
      <c r="C190" s="35" t="n">
        <v>504717.6885570616</v>
      </c>
      <c r="D190" s="36">
        <f>IF(C189&gt;0,C190/C189-1,"")</f>
        <v/>
      </c>
      <c r="E190" s="36">
        <f>IF(D190="","",D190-$C$12)</f>
        <v/>
      </c>
      <c r="F190" s="35" t="n">
        <v>437712.0176667133</v>
      </c>
      <c r="G190" s="36">
        <f>IF(F189&gt;0,F190/F189-1,"")</f>
        <v/>
      </c>
      <c r="H190" s="36">
        <f>IF(G190="","",G190-$D$12)</f>
        <v/>
      </c>
    </row>
    <row r="191">
      <c r="B191" s="34" t="inlineStr">
        <is>
          <t>2022-05-31</t>
        </is>
      </c>
      <c r="C191" s="35" t="n">
        <v>504350.0618522804</v>
      </c>
      <c r="D191" s="36">
        <f>IF(C190&gt;0,C191/C190-1,"")</f>
        <v/>
      </c>
      <c r="E191" s="36">
        <f>IF(D191="","",D191-$C$12)</f>
        <v/>
      </c>
      <c r="F191" s="35" t="n">
        <v>436607.6118046279</v>
      </c>
      <c r="G191" s="36">
        <f>IF(F190&gt;0,F191/F190-1,"")</f>
        <v/>
      </c>
      <c r="H191" s="36">
        <f>IF(G191="","",G191-$D$12)</f>
        <v/>
      </c>
    </row>
    <row r="192">
      <c r="B192" s="34" t="inlineStr">
        <is>
          <t>2022-06-01</t>
        </is>
      </c>
      <c r="C192" s="35" t="n">
        <v>502573.9862955998</v>
      </c>
      <c r="D192" s="36">
        <f>IF(C191&gt;0,C192/C191-1,"")</f>
        <v/>
      </c>
      <c r="E192" s="36">
        <f>IF(D192="","",D192-$C$12)</f>
        <v/>
      </c>
      <c r="F192" s="35" t="n">
        <v>435159.7271433068</v>
      </c>
      <c r="G192" s="36">
        <f>IF(F191&gt;0,F192/F191-1,"")</f>
        <v/>
      </c>
      <c r="H192" s="36">
        <f>IF(G192="","",G192-$D$12)</f>
        <v/>
      </c>
    </row>
    <row r="193">
      <c r="B193" s="34" t="inlineStr">
        <is>
          <t>2022-06-02</t>
        </is>
      </c>
      <c r="C193" s="35" t="n">
        <v>505689.2497611506</v>
      </c>
      <c r="D193" s="36">
        <f>IF(C192&gt;0,C193/C192-1,"")</f>
        <v/>
      </c>
      <c r="E193" s="36">
        <f>IF(D193="","",D193-$C$12)</f>
        <v/>
      </c>
      <c r="F193" s="35" t="n">
        <v>437185.7603020665</v>
      </c>
      <c r="G193" s="36">
        <f>IF(F192&gt;0,F193/F192-1,"")</f>
        <v/>
      </c>
      <c r="H193" s="36">
        <f>IF(G193="","",G193-$D$12)</f>
        <v/>
      </c>
    </row>
    <row r="194">
      <c r="B194" s="34" t="inlineStr">
        <is>
          <t>2022-06-03</t>
        </is>
      </c>
      <c r="C194" s="35" t="n">
        <v>504128.5473385288</v>
      </c>
      <c r="D194" s="36">
        <f>IF(C193&gt;0,C194/C193-1,"")</f>
        <v/>
      </c>
      <c r="E194" s="36">
        <f>IF(D194="","",D194-$C$12)</f>
        <v/>
      </c>
      <c r="F194" s="35" t="n">
        <v>435945.5866760897</v>
      </c>
      <c r="G194" s="36">
        <f>IF(F193&gt;0,F194/F193-1,"")</f>
        <v/>
      </c>
      <c r="H194" s="36">
        <f>IF(G194="","",G194-$D$12)</f>
        <v/>
      </c>
    </row>
    <row r="195">
      <c r="B195" s="34" t="inlineStr">
        <is>
          <t>2022-06-06</t>
        </is>
      </c>
      <c r="C195" s="35" t="n">
        <v>506851.7881835178</v>
      </c>
      <c r="D195" s="36">
        <f>IF(C194&gt;0,C195/C194-1,"")</f>
        <v/>
      </c>
      <c r="E195" s="36">
        <f>IF(D195="","",D195-$C$12)</f>
        <v/>
      </c>
      <c r="F195" s="35" t="n">
        <v>437647.8653563713</v>
      </c>
      <c r="G195" s="36">
        <f>IF(F194&gt;0,F195/F194-1,"")</f>
        <v/>
      </c>
      <c r="H195" s="36">
        <f>IF(G195="","",G195-$D$12)</f>
        <v/>
      </c>
    </row>
    <row r="196">
      <c r="B196" s="34" t="inlineStr">
        <is>
          <t>2022-06-07</t>
        </is>
      </c>
      <c r="C196" s="35" t="n">
        <v>507896.2859622945</v>
      </c>
      <c r="D196" s="36">
        <f>IF(C195&gt;0,C196/C195-1,"")</f>
        <v/>
      </c>
      <c r="E196" s="36">
        <f>IF(D196="","",D196-$C$12)</f>
        <v/>
      </c>
      <c r="F196" s="35" t="n">
        <v>438425.1243582009</v>
      </c>
      <c r="G196" s="36">
        <f>IF(F195&gt;0,F196/F195-1,"")</f>
        <v/>
      </c>
      <c r="H196" s="36">
        <f>IF(G196="","",G196-$D$12)</f>
        <v/>
      </c>
    </row>
    <row r="197">
      <c r="B197" s="34" t="inlineStr">
        <is>
          <t>2022-06-08</t>
        </is>
      </c>
      <c r="C197" s="35" t="n">
        <v>507817.9192494664</v>
      </c>
      <c r="D197" s="36">
        <f>IF(C196&gt;0,C197/C196-1,"")</f>
        <v/>
      </c>
      <c r="E197" s="36">
        <f>IF(D197="","",D197-$C$12)</f>
        <v/>
      </c>
      <c r="F197" s="35" t="n">
        <v>437698.5467165263</v>
      </c>
      <c r="G197" s="36">
        <f>IF(F196&gt;0,F197/F196-1,"")</f>
        <v/>
      </c>
      <c r="H197" s="36">
        <f>IF(G197="","",G197-$D$12)</f>
        <v/>
      </c>
    </row>
    <row r="198">
      <c r="B198" s="34" t="inlineStr">
        <is>
          <t>2022-06-09</t>
        </is>
      </c>
      <c r="C198" s="35" t="n">
        <v>503794.0733032127</v>
      </c>
      <c r="D198" s="36">
        <f>IF(C197&gt;0,C198/C197-1,"")</f>
        <v/>
      </c>
      <c r="E198" s="36">
        <f>IF(D198="","",D198-$C$12)</f>
        <v/>
      </c>
      <c r="F198" s="35" t="n">
        <v>434598.0886966113</v>
      </c>
      <c r="G198" s="36">
        <f>IF(F197&gt;0,F198/F197-1,"")</f>
        <v/>
      </c>
      <c r="H198" s="36">
        <f>IF(G198="","",G198-$D$12)</f>
        <v/>
      </c>
    </row>
    <row r="199">
      <c r="B199" s="34" t="inlineStr">
        <is>
          <t>2022-06-10</t>
        </is>
      </c>
      <c r="C199" s="35" t="n">
        <v>497219.0673416521</v>
      </c>
      <c r="D199" s="36">
        <f>IF(C198&gt;0,C199/C198-1,"")</f>
        <v/>
      </c>
      <c r="E199" s="36">
        <f>IF(D199="","",D199-$C$12)</f>
        <v/>
      </c>
      <c r="F199" s="35" t="n">
        <v>429629.432656817</v>
      </c>
      <c r="G199" s="36">
        <f>IF(F198&gt;0,F199/F198-1,"")</f>
        <v/>
      </c>
      <c r="H199" s="36">
        <f>IF(G199="","",G199-$D$12)</f>
        <v/>
      </c>
    </row>
    <row r="200">
      <c r="B200" s="34" t="inlineStr">
        <is>
          <t>2022-06-13</t>
        </is>
      </c>
      <c r="C200" s="35" t="n">
        <v>489414.0774395771</v>
      </c>
      <c r="D200" s="36">
        <f>IF(C199&gt;0,C200/C199-1,"")</f>
        <v/>
      </c>
      <c r="E200" s="36">
        <f>IF(D200="","",D200-$C$12)</f>
        <v/>
      </c>
      <c r="F200" s="35" t="n">
        <v>423763.1690703723</v>
      </c>
      <c r="G200" s="36">
        <f>IF(F199&gt;0,F200/F199-1,"")</f>
        <v/>
      </c>
      <c r="H200" s="36">
        <f>IF(G200="","",G200-$D$12)</f>
        <v/>
      </c>
    </row>
    <row r="201">
      <c r="B201" s="34" t="inlineStr">
        <is>
          <t>2022-06-14</t>
        </is>
      </c>
      <c r="C201" s="35" t="n">
        <v>488405.7142107682</v>
      </c>
      <c r="D201" s="36">
        <f>IF(C200&gt;0,C201/C200-1,"")</f>
        <v/>
      </c>
      <c r="E201" s="36">
        <f>IF(D201="","",D201-$C$12)</f>
        <v/>
      </c>
      <c r="F201" s="35" t="n">
        <v>422817.2754380448</v>
      </c>
      <c r="G201" s="36">
        <f>IF(F200&gt;0,F201/F200-1,"")</f>
        <v/>
      </c>
      <c r="H201" s="36">
        <f>IF(G201="","",G201-$D$12)</f>
        <v/>
      </c>
    </row>
    <row r="202">
      <c r="B202" s="34" t="inlineStr">
        <is>
          <t>2022-06-15</t>
        </is>
      </c>
      <c r="C202" s="35" t="n">
        <v>491870.7735852316</v>
      </c>
      <c r="D202" s="36">
        <f>IF(C201&gt;0,C202/C201-1,"")</f>
        <v/>
      </c>
      <c r="E202" s="36">
        <f>IF(D202="","",D202-$C$12)</f>
        <v/>
      </c>
      <c r="F202" s="35" t="n">
        <v>425443.2824798011</v>
      </c>
      <c r="G202" s="36">
        <f>IF(F201&gt;0,F202/F201-1,"")</f>
        <v/>
      </c>
      <c r="H202" s="36">
        <f>IF(G202="","",G202-$D$12)</f>
        <v/>
      </c>
    </row>
    <row r="203">
      <c r="B203" s="34" t="inlineStr">
        <is>
          <t>2022-06-16</t>
        </is>
      </c>
      <c r="C203" s="35" t="n">
        <v>478930.3268558537</v>
      </c>
      <c r="D203" s="36">
        <f>IF(C202&gt;0,C203/C202-1,"")</f>
        <v/>
      </c>
      <c r="E203" s="36">
        <f>IF(D203="","",D203-$C$12)</f>
        <v/>
      </c>
      <c r="F203" s="35" t="n">
        <v>415573.0275760447</v>
      </c>
      <c r="G203" s="36">
        <f>IF(F202&gt;0,F203/F202-1,"")</f>
        <v/>
      </c>
      <c r="H203" s="36">
        <f>IF(G203="","",G203-$D$12)</f>
        <v/>
      </c>
    </row>
    <row r="204">
      <c r="B204" s="34" t="inlineStr">
        <is>
          <t>2022-06-17</t>
        </is>
      </c>
      <c r="C204" s="35" t="n">
        <v>479792.9648730897</v>
      </c>
      <c r="D204" s="36">
        <f>IF(C203&gt;0,C204/C203-1,"")</f>
        <v/>
      </c>
      <c r="E204" s="36">
        <f>IF(D204="","",D204-$C$12)</f>
        <v/>
      </c>
      <c r="F204" s="35" t="n">
        <v>415970.5630397983</v>
      </c>
      <c r="G204" s="36">
        <f>IF(F203&gt;0,F204/F203-1,"")</f>
        <v/>
      </c>
      <c r="H204" s="36">
        <f>IF(G204="","",G204-$D$12)</f>
        <v/>
      </c>
    </row>
    <row r="205">
      <c r="B205" s="34" t="inlineStr">
        <is>
          <t>2022-06-20</t>
        </is>
      </c>
      <c r="C205" s="35" t="n">
        <v>480436.4874454616</v>
      </c>
      <c r="D205" s="36">
        <f>IF(C204&gt;0,C205/C204-1,"")</f>
        <v/>
      </c>
      <c r="E205" s="36">
        <f>IF(D205="","",D205-$C$12)</f>
        <v/>
      </c>
      <c r="F205" s="35" t="n">
        <v>416611.1318922689</v>
      </c>
      <c r="G205" s="36">
        <f>IF(F204&gt;0,F205/F204-1,"")</f>
        <v/>
      </c>
      <c r="H205" s="36">
        <f>IF(G205="","",G205-$D$12)</f>
        <v/>
      </c>
    </row>
    <row r="206">
      <c r="B206" s="34" t="inlineStr">
        <is>
          <t>2022-06-21</t>
        </is>
      </c>
      <c r="C206" s="35" t="n">
        <v>482877.360030761</v>
      </c>
      <c r="D206" s="36">
        <f>IF(C205&gt;0,C206/C205-1,"")</f>
        <v/>
      </c>
      <c r="E206" s="36">
        <f>IF(D206="","",D206-$C$12)</f>
        <v/>
      </c>
      <c r="F206" s="35" t="n">
        <v>418119.5492393754</v>
      </c>
      <c r="G206" s="36">
        <f>IF(F205&gt;0,F206/F205-1,"")</f>
        <v/>
      </c>
      <c r="H206" s="36">
        <f>IF(G206="","",G206-$D$12)</f>
        <v/>
      </c>
    </row>
    <row r="207">
      <c r="B207" s="34" t="inlineStr">
        <is>
          <t>2022-06-22</t>
        </is>
      </c>
      <c r="C207" s="35" t="n">
        <v>481165.4754606442</v>
      </c>
      <c r="D207" s="36">
        <f>IF(C206&gt;0,C207/C206-1,"")</f>
        <v/>
      </c>
      <c r="E207" s="36">
        <f>IF(D207="","",D207-$C$12)</f>
        <v/>
      </c>
      <c r="F207" s="35" t="n">
        <v>416970.6716283376</v>
      </c>
      <c r="G207" s="36">
        <f>IF(F206&gt;0,F207/F206-1,"")</f>
        <v/>
      </c>
      <c r="H207" s="36">
        <f>IF(G207="","",G207-$D$12)</f>
        <v/>
      </c>
    </row>
    <row r="208">
      <c r="B208" s="34" t="inlineStr">
        <is>
          <t>2022-06-23</t>
        </is>
      </c>
      <c r="C208" s="35" t="n">
        <v>478933.6177452488</v>
      </c>
      <c r="D208" s="36">
        <f>IF(C207&gt;0,C208/C207-1,"")</f>
        <v/>
      </c>
      <c r="E208" s="36">
        <f>IF(D208="","",D208-$C$12)</f>
        <v/>
      </c>
      <c r="F208" s="35" t="n">
        <v>415109.145988018</v>
      </c>
      <c r="G208" s="36">
        <f>IF(F207&gt;0,F208/F207-1,"")</f>
        <v/>
      </c>
      <c r="H208" s="36">
        <f>IF(G208="","",G208-$D$12)</f>
        <v/>
      </c>
    </row>
    <row r="209">
      <c r="B209" s="34" t="inlineStr">
        <is>
          <t>2022-06-24</t>
        </is>
      </c>
      <c r="C209" s="35" t="n">
        <v>488603.5967788991</v>
      </c>
      <c r="D209" s="36">
        <f>IF(C208&gt;0,C209/C208-1,"")</f>
        <v/>
      </c>
      <c r="E209" s="36">
        <f>IF(D209="","",D209-$C$12)</f>
        <v/>
      </c>
      <c r="F209" s="35" t="n">
        <v>422133.0499077847</v>
      </c>
      <c r="G209" s="36">
        <f>IF(F208&gt;0,F209/F208-1,"")</f>
        <v/>
      </c>
      <c r="H209" s="36">
        <f>IF(G209="","",G209-$D$12)</f>
        <v/>
      </c>
    </row>
    <row r="210">
      <c r="B210" s="34" t="inlineStr">
        <is>
          <t>2022-06-27</t>
        </is>
      </c>
      <c r="C210" s="35" t="n">
        <v>489620.6634063776</v>
      </c>
      <c r="D210" s="36">
        <f>IF(C209&gt;0,C210/C209-1,"")</f>
        <v/>
      </c>
      <c r="E210" s="36">
        <f>IF(D210="","",D210-$C$12)</f>
        <v/>
      </c>
      <c r="F210" s="35" t="n">
        <v>423655.9038938523</v>
      </c>
      <c r="G210" s="36">
        <f>IF(F209&gt;0,F210/F209-1,"")</f>
        <v/>
      </c>
      <c r="H210" s="36">
        <f>IF(G210="","",G210-$D$12)</f>
        <v/>
      </c>
    </row>
    <row r="211">
      <c r="B211" s="34" t="inlineStr">
        <is>
          <t>2022-06-28</t>
        </is>
      </c>
      <c r="C211" s="35" t="n">
        <v>485594.0272035591</v>
      </c>
      <c r="D211" s="36">
        <f>IF(C210&gt;0,C211/C210-1,"")</f>
        <v/>
      </c>
      <c r="E211" s="36">
        <f>IF(D211="","",D211-$C$12)</f>
        <v/>
      </c>
      <c r="F211" s="35" t="n">
        <v>421141.9178081815</v>
      </c>
      <c r="G211" s="36">
        <f>IF(F210&gt;0,F211/F210-1,"")</f>
        <v/>
      </c>
      <c r="H211" s="36">
        <f>IF(G211="","",G211-$D$12)</f>
        <v/>
      </c>
    </row>
    <row r="212">
      <c r="B212" s="34" t="inlineStr">
        <is>
          <t>2022-06-29</t>
        </is>
      </c>
      <c r="C212" s="35" t="n">
        <v>484676.3706246183</v>
      </c>
      <c r="D212" s="36">
        <f>IF(C211&gt;0,C212/C211-1,"")</f>
        <v/>
      </c>
      <c r="E212" s="36">
        <f>IF(D212="","",D212-$C$12)</f>
        <v/>
      </c>
      <c r="F212" s="35" t="n">
        <v>420195.2129490398</v>
      </c>
      <c r="G212" s="36">
        <f>IF(F211&gt;0,F212/F211-1,"")</f>
        <v/>
      </c>
      <c r="H212" s="36">
        <f>IF(G212="","",G212-$D$12)</f>
        <v/>
      </c>
    </row>
    <row r="213">
      <c r="B213" s="34" t="inlineStr">
        <is>
          <t>2022-06-30</t>
        </is>
      </c>
      <c r="C213" s="35" t="n">
        <v>480773.7856692637</v>
      </c>
      <c r="D213" s="36">
        <f>IF(C212&gt;0,C213/C212-1,"")</f>
        <v/>
      </c>
      <c r="E213" s="36">
        <f>IF(D213="","",D213-$C$12)</f>
        <v/>
      </c>
      <c r="F213" s="35" t="n">
        <v>417618.0043722742</v>
      </c>
      <c r="G213" s="36">
        <f>IF(F212&gt;0,F213/F212-1,"")</f>
        <v/>
      </c>
      <c r="H213" s="36">
        <f>IF(G213="","",G213-$D$12)</f>
        <v/>
      </c>
    </row>
    <row r="214">
      <c r="B214" s="34" t="inlineStr">
        <is>
          <t>2022-07-01</t>
        </is>
      </c>
      <c r="C214" s="35" t="n">
        <v>481682.601958307</v>
      </c>
      <c r="D214" s="36">
        <f>IF(C213&gt;0,C214/C213-1,"")</f>
        <v/>
      </c>
      <c r="E214" s="36">
        <f>IF(D214="","",D214-$C$12)</f>
        <v/>
      </c>
      <c r="F214" s="35" t="n">
        <v>418200.142166849</v>
      </c>
      <c r="G214" s="36">
        <f>IF(F213&gt;0,F214/F213-1,"")</f>
        <v/>
      </c>
      <c r="H214" s="36">
        <f>IF(G214="","",G214-$D$12)</f>
        <v/>
      </c>
    </row>
    <row r="215">
      <c r="B215" s="34" t="inlineStr">
        <is>
          <t>2022-07-04</t>
        </is>
      </c>
      <c r="C215" s="35" t="n">
        <v>484257.8776072045</v>
      </c>
      <c r="D215" s="36">
        <f>IF(C214&gt;0,C215/C214-1,"")</f>
        <v/>
      </c>
      <c r="E215" s="36">
        <f>IF(D215="","",D215-$C$12)</f>
        <v/>
      </c>
      <c r="F215" s="35" t="n">
        <v>420111.2060707986</v>
      </c>
      <c r="G215" s="36">
        <f>IF(F214&gt;0,F215/F214-1,"")</f>
        <v/>
      </c>
      <c r="H215" s="36">
        <f>IF(G215="","",G215-$D$12)</f>
        <v/>
      </c>
    </row>
    <row r="216">
      <c r="B216" s="34" t="inlineStr">
        <is>
          <t>2022-07-05</t>
        </is>
      </c>
      <c r="C216" s="35" t="n">
        <v>483765.5185138842</v>
      </c>
      <c r="D216" s="36">
        <f>IF(C215&gt;0,C216/C215-1,"")</f>
        <v/>
      </c>
      <c r="E216" s="36">
        <f>IF(D216="","",D216-$C$12)</f>
        <v/>
      </c>
      <c r="F216" s="35" t="n">
        <v>418518.9635723769</v>
      </c>
      <c r="G216" s="36">
        <f>IF(F215&gt;0,F216/F215-1,"")</f>
        <v/>
      </c>
      <c r="H216" s="36">
        <f>IF(G216="","",G216-$D$12)</f>
        <v/>
      </c>
    </row>
    <row r="217">
      <c r="B217" s="34" t="inlineStr">
        <is>
          <t>2022-07-06</t>
        </is>
      </c>
      <c r="C217" s="35" t="n">
        <v>485906.8975508832</v>
      </c>
      <c r="D217" s="36">
        <f>IF(C216&gt;0,C217/C216-1,"")</f>
        <v/>
      </c>
      <c r="E217" s="36">
        <f>IF(D217="","",D217-$C$12)</f>
        <v/>
      </c>
      <c r="F217" s="35" t="n">
        <v>420316.4445129251</v>
      </c>
      <c r="G217" s="36">
        <f>IF(F216&gt;0,F217/F216-1,"")</f>
        <v/>
      </c>
      <c r="H217" s="36">
        <f>IF(G217="","",G217-$D$12)</f>
        <v/>
      </c>
    </row>
    <row r="218">
      <c r="B218" s="34" t="inlineStr">
        <is>
          <t>2022-07-07</t>
        </is>
      </c>
      <c r="C218" s="35" t="n">
        <v>492172.2920802248</v>
      </c>
      <c r="D218" s="36">
        <f>IF(C217&gt;0,C218/C217-1,"")</f>
        <v/>
      </c>
      <c r="E218" s="36">
        <f>IF(D218="","",D218-$C$12)</f>
        <v/>
      </c>
      <c r="F218" s="35" t="n">
        <v>424873.1011197977</v>
      </c>
      <c r="G218" s="36">
        <f>IF(F217&gt;0,F218/F217-1,"")</f>
        <v/>
      </c>
      <c r="H218" s="36">
        <f>IF(G218="","",G218-$D$12)</f>
        <v/>
      </c>
    </row>
    <row r="219">
      <c r="B219" s="34" t="inlineStr">
        <is>
          <t>2022-07-08</t>
        </is>
      </c>
      <c r="C219" s="35" t="n">
        <v>494565.7801619857</v>
      </c>
      <c r="D219" s="36">
        <f>IF(C218&gt;0,C219/C218-1,"")</f>
        <v/>
      </c>
      <c r="E219" s="36">
        <f>IF(D219="","",D219-$C$12)</f>
        <v/>
      </c>
      <c r="F219" s="35" t="n">
        <v>426464.6409238048</v>
      </c>
      <c r="G219" s="36">
        <f>IF(F218&gt;0,F219/F218-1,"")</f>
        <v/>
      </c>
      <c r="H219" s="36">
        <f>IF(G219="","",G219-$D$12)</f>
        <v/>
      </c>
    </row>
    <row r="220">
      <c r="B220" s="34" t="inlineStr">
        <is>
          <t>2022-07-11</t>
        </is>
      </c>
      <c r="C220" s="35" t="n">
        <v>492440.6753973537</v>
      </c>
      <c r="D220" s="36">
        <f>IF(C219&gt;0,C220/C219-1,"")</f>
        <v/>
      </c>
      <c r="E220" s="36">
        <f>IF(D220="","",D220-$C$12)</f>
        <v/>
      </c>
      <c r="F220" s="35" t="n">
        <v>424878.8989891459</v>
      </c>
      <c r="G220" s="36">
        <f>IF(F219&gt;0,F220/F219-1,"")</f>
        <v/>
      </c>
      <c r="H220" s="36">
        <f>IF(G220="","",G220-$D$12)</f>
        <v/>
      </c>
    </row>
    <row r="221">
      <c r="B221" s="34" t="inlineStr">
        <is>
          <t>2022-07-12</t>
        </is>
      </c>
      <c r="C221" s="35" t="n">
        <v>491429.3258932547</v>
      </c>
      <c r="D221" s="36">
        <f>IF(C220&gt;0,C221/C220-1,"")</f>
        <v/>
      </c>
      <c r="E221" s="36">
        <f>IF(D221="","",D221-$C$12)</f>
        <v/>
      </c>
      <c r="F221" s="35" t="n">
        <v>424390.343122915</v>
      </c>
      <c r="G221" s="36">
        <f>IF(F220&gt;0,F221/F220-1,"")</f>
        <v/>
      </c>
      <c r="H221" s="36">
        <f>IF(G221="","",G221-$D$12)</f>
        <v/>
      </c>
    </row>
    <row r="222">
      <c r="B222" s="34" t="inlineStr">
        <is>
          <t>2022-07-13</t>
        </is>
      </c>
      <c r="C222" s="35" t="n">
        <v>487124.755169718</v>
      </c>
      <c r="D222" s="36">
        <f>IF(C221&gt;0,C222/C221-1,"")</f>
        <v/>
      </c>
      <c r="E222" s="36">
        <f>IF(D222="","",D222-$C$12)</f>
        <v/>
      </c>
      <c r="F222" s="35" t="n">
        <v>421159.1697187281</v>
      </c>
      <c r="G222" s="36">
        <f>IF(F221&gt;0,F222/F221-1,"")</f>
        <v/>
      </c>
      <c r="H222" s="36">
        <f>IF(G222="","",G222-$D$12)</f>
        <v/>
      </c>
    </row>
    <row r="223">
      <c r="B223" s="34" t="inlineStr">
        <is>
          <t>2022-07-14</t>
        </is>
      </c>
      <c r="C223" s="35" t="n">
        <v>484541.0830770226</v>
      </c>
      <c r="D223" s="36">
        <f>IF(C222&gt;0,C223/C222-1,"")</f>
        <v/>
      </c>
      <c r="E223" s="36">
        <f>IF(D223="","",D223-$C$12)</f>
        <v/>
      </c>
      <c r="F223" s="35" t="n">
        <v>418775.7710619761</v>
      </c>
      <c r="G223" s="36">
        <f>IF(F222&gt;0,F223/F222-1,"")</f>
        <v/>
      </c>
      <c r="H223" s="36">
        <f>IF(G223="","",G223-$D$12)</f>
        <v/>
      </c>
    </row>
    <row r="224">
      <c r="B224" s="34" t="inlineStr">
        <is>
          <t>2022-07-15</t>
        </is>
      </c>
      <c r="C224" s="35" t="n">
        <v>488220.0197744509</v>
      </c>
      <c r="D224" s="36">
        <f>IF(C223&gt;0,C224/C223-1,"")</f>
        <v/>
      </c>
      <c r="E224" s="36">
        <f>IF(D224="","",D224-$C$12)</f>
        <v/>
      </c>
      <c r="F224" s="35" t="n">
        <v>421593.3737346295</v>
      </c>
      <c r="G224" s="36">
        <f>IF(F223&gt;0,F224/F223-1,"")</f>
        <v/>
      </c>
      <c r="H224" s="36">
        <f>IF(G224="","",G224-$D$12)</f>
        <v/>
      </c>
    </row>
    <row r="225">
      <c r="B225" s="34" t="inlineStr">
        <is>
          <t>2022-07-18</t>
        </is>
      </c>
      <c r="C225" s="35" t="n">
        <v>423812.3353060579</v>
      </c>
      <c r="D225" s="36">
        <f>IF(C224&gt;0,C225/C224-1,"")</f>
        <v/>
      </c>
      <c r="E225" s="36">
        <f>IF(D225="","",D225-$C$12)</f>
        <v/>
      </c>
      <c r="F225" s="35" t="n">
        <v>391240.1192430311</v>
      </c>
      <c r="G225" s="36">
        <f>IF(F224&gt;0,F225/F224-1,"")</f>
        <v/>
      </c>
      <c r="H225" s="36">
        <f>IF(G225="","",G225-$D$12)</f>
        <v/>
      </c>
    </row>
    <row r="226">
      <c r="B226" s="34" t="inlineStr">
        <is>
          <t>2022-07-19</t>
        </is>
      </c>
      <c r="C226" s="35" t="n">
        <v>425021.5257425881</v>
      </c>
      <c r="D226" s="36">
        <f>IF(C225&gt;0,C226/C225-1,"")</f>
        <v/>
      </c>
      <c r="E226" s="36">
        <f>IF(D226="","",D226-$C$12)</f>
        <v/>
      </c>
      <c r="F226" s="35" t="n">
        <v>392290.6360885916</v>
      </c>
      <c r="G226" s="36">
        <f>IF(F225&gt;0,F226/F225-1,"")</f>
        <v/>
      </c>
      <c r="H226" s="36">
        <f>IF(G226="","",G226-$D$12)</f>
        <v/>
      </c>
    </row>
    <row r="227">
      <c r="B227" s="34" t="inlineStr">
        <is>
          <t>2022-07-20</t>
        </is>
      </c>
      <c r="C227" s="35" t="n">
        <v>424987.9798357738</v>
      </c>
      <c r="D227" s="36">
        <f>IF(C226&gt;0,C227/C226-1,"")</f>
        <v/>
      </c>
      <c r="E227" s="36">
        <f>IF(D227="","",D227-$C$12)</f>
        <v/>
      </c>
      <c r="F227" s="35" t="n">
        <v>392225.4402618374</v>
      </c>
      <c r="G227" s="36">
        <f>IF(F226&gt;0,F227/F226-1,"")</f>
        <v/>
      </c>
      <c r="H227" s="36">
        <f>IF(G227="","",G227-$D$12)</f>
        <v/>
      </c>
    </row>
    <row r="228">
      <c r="B228" s="34" t="inlineStr">
        <is>
          <t>2022-07-21</t>
        </is>
      </c>
      <c r="C228" s="35" t="n">
        <v>423911.4214220286</v>
      </c>
      <c r="D228" s="36">
        <f>IF(C227&gt;0,C228/C227-1,"")</f>
        <v/>
      </c>
      <c r="E228" s="36">
        <f>IF(D228="","",D228-$C$12)</f>
        <v/>
      </c>
      <c r="F228" s="35" t="n">
        <v>391837.9198651073</v>
      </c>
      <c r="G228" s="36">
        <f>IF(F227&gt;0,F228/F227-1,"")</f>
        <v/>
      </c>
      <c r="H228" s="36">
        <f>IF(G228="","",G228-$D$12)</f>
        <v/>
      </c>
    </row>
    <row r="229">
      <c r="B229" s="34" t="inlineStr">
        <is>
          <t>2022-07-22</t>
        </is>
      </c>
      <c r="C229" s="35" t="n">
        <v>423983.2243581879</v>
      </c>
      <c r="D229" s="36">
        <f>IF(C228&gt;0,C229/C228-1,"")</f>
        <v/>
      </c>
      <c r="E229" s="36">
        <f>IF(D229="","",D229-$C$12)</f>
        <v/>
      </c>
      <c r="F229" s="35" t="n">
        <v>391708.4009345971</v>
      </c>
      <c r="G229" s="36">
        <f>IF(F228&gt;0,F229/F228-1,"")</f>
        <v/>
      </c>
      <c r="H229" s="36">
        <f>IF(G229="","",G229-$D$12)</f>
        <v/>
      </c>
    </row>
    <row r="230">
      <c r="B230" s="34" t="inlineStr">
        <is>
          <t>2022-07-25</t>
        </is>
      </c>
      <c r="C230" s="35" t="n">
        <v>424494.691224081</v>
      </c>
      <c r="D230" s="36">
        <f>IF(C229&gt;0,C230/C229-1,"")</f>
        <v/>
      </c>
      <c r="E230" s="36">
        <f>IF(D230="","",D230-$C$12)</f>
        <v/>
      </c>
      <c r="F230" s="35" t="n">
        <v>392366.7135193675</v>
      </c>
      <c r="G230" s="36">
        <f>IF(F229&gt;0,F230/F229-1,"")</f>
        <v/>
      </c>
      <c r="H230" s="36">
        <f>IF(G230="","",G230-$D$12)</f>
        <v/>
      </c>
    </row>
    <row r="231">
      <c r="B231" s="34" t="inlineStr">
        <is>
          <t>2022-07-26</t>
        </is>
      </c>
      <c r="C231" s="35" t="n">
        <v>424639.4218185522</v>
      </c>
      <c r="D231" s="36">
        <f>IF(C230&gt;0,C231/C230-1,"")</f>
        <v/>
      </c>
      <c r="E231" s="36">
        <f>IF(D231="","",D231-$C$12)</f>
        <v/>
      </c>
      <c r="F231" s="35" t="n">
        <v>392231.5483853585</v>
      </c>
      <c r="G231" s="36">
        <f>IF(F230&gt;0,F231/F230-1,"")</f>
        <v/>
      </c>
      <c r="H231" s="36">
        <f>IF(G231="","",G231-$D$12)</f>
        <v/>
      </c>
    </row>
    <row r="232">
      <c r="B232" s="34" t="inlineStr">
        <is>
          <t>2022-07-27</t>
        </is>
      </c>
      <c r="C232" s="35" t="n">
        <v>425282.538978758</v>
      </c>
      <c r="D232" s="36">
        <f>IF(C231&gt;0,C232/C231-1,"")</f>
        <v/>
      </c>
      <c r="E232" s="36">
        <f>IF(D232="","",D232-$C$12)</f>
        <v/>
      </c>
      <c r="F232" s="35" t="n">
        <v>392481.4664980904</v>
      </c>
      <c r="G232" s="36">
        <f>IF(F231&gt;0,F232/F231-1,"")</f>
        <v/>
      </c>
      <c r="H232" s="36">
        <f>IF(G232="","",G232-$D$12)</f>
        <v/>
      </c>
    </row>
    <row r="233">
      <c r="B233" s="34" t="inlineStr">
        <is>
          <t>2022-07-28</t>
        </is>
      </c>
      <c r="C233" s="35" t="n">
        <v>425595.0885498044</v>
      </c>
      <c r="D233" s="36">
        <f>IF(C232&gt;0,C233/C232-1,"")</f>
        <v/>
      </c>
      <c r="E233" s="36">
        <f>IF(D233="","",D233-$C$12)</f>
        <v/>
      </c>
      <c r="F233" s="35" t="n">
        <v>393295.5240559021</v>
      </c>
      <c r="G233" s="36">
        <f>IF(F232&gt;0,F233/F232-1,"")</f>
        <v/>
      </c>
      <c r="H233" s="36">
        <f>IF(G233="","",G233-$D$12)</f>
        <v/>
      </c>
    </row>
    <row r="234">
      <c r="B234" s="34" t="inlineStr">
        <is>
          <t>2022-07-29</t>
        </is>
      </c>
      <c r="C234" s="35" t="n">
        <v>427127.8808792133</v>
      </c>
      <c r="D234" s="36">
        <f>IF(C233&gt;0,C234/C233-1,"")</f>
        <v/>
      </c>
      <c r="E234" s="36">
        <f>IF(D234="","",D234-$C$12)</f>
        <v/>
      </c>
      <c r="F234" s="35" t="n">
        <v>394642.5484623965</v>
      </c>
      <c r="G234" s="36">
        <f>IF(F233&gt;0,F234/F233-1,"")</f>
        <v/>
      </c>
      <c r="H234" s="36">
        <f>IF(G234="","",G234-$D$12)</f>
        <v/>
      </c>
    </row>
    <row r="235">
      <c r="B235" s="34" t="inlineStr">
        <is>
          <t>2022-08-01</t>
        </is>
      </c>
      <c r="C235" s="35" t="n">
        <v>426600.1595395195</v>
      </c>
      <c r="D235" s="36">
        <f>IF(C234&gt;0,C235/C234-1,"")</f>
        <v/>
      </c>
      <c r="E235" s="36">
        <f>IF(D235="","",D235-$C$12)</f>
        <v/>
      </c>
      <c r="F235" s="35" t="n">
        <v>394272.5795639188</v>
      </c>
      <c r="G235" s="36">
        <f>IF(F234&gt;0,F235/F234-1,"")</f>
        <v/>
      </c>
      <c r="H235" s="36">
        <f>IF(G235="","",G235-$D$12)</f>
        <v/>
      </c>
    </row>
    <row r="236">
      <c r="B236" s="34" t="inlineStr">
        <is>
          <t>2022-08-02</t>
        </is>
      </c>
      <c r="C236" s="35" t="n">
        <v>425909.7900425888</v>
      </c>
      <c r="D236" s="36">
        <f>IF(C235&gt;0,C236/C235-1,"")</f>
        <v/>
      </c>
      <c r="E236" s="36">
        <f>IF(D236="","",D236-$C$12)</f>
        <v/>
      </c>
      <c r="F236" s="35" t="n">
        <v>393384.4390609578</v>
      </c>
      <c r="G236" s="36">
        <f>IF(F235&gt;0,F236/F235-1,"")</f>
        <v/>
      </c>
      <c r="H236" s="36">
        <f>IF(G236="","",G236-$D$12)</f>
        <v/>
      </c>
    </row>
    <row r="237">
      <c r="B237" s="34" t="inlineStr">
        <is>
          <t>2022-08-03</t>
        </is>
      </c>
      <c r="C237" s="35" t="n">
        <v>427004.7046438932</v>
      </c>
      <c r="D237" s="36">
        <f>IF(C236&gt;0,C237/C236-1,"")</f>
        <v/>
      </c>
      <c r="E237" s="36">
        <f>IF(D237="","",D237-$C$12)</f>
        <v/>
      </c>
      <c r="F237" s="35" t="n">
        <v>394776.6781350144</v>
      </c>
      <c r="G237" s="36">
        <f>IF(F236&gt;0,F237/F236-1,"")</f>
        <v/>
      </c>
      <c r="H237" s="36">
        <f>IF(G237="","",G237-$D$12)</f>
        <v/>
      </c>
    </row>
    <row r="238">
      <c r="B238" s="34" t="inlineStr">
        <is>
          <t>2022-08-04</t>
        </is>
      </c>
      <c r="C238" s="35" t="n">
        <v>426349.0040706668</v>
      </c>
      <c r="D238" s="36">
        <f>IF(C237&gt;0,C238/C237-1,"")</f>
        <v/>
      </c>
      <c r="E238" s="36">
        <f>IF(D238="","",D238-$C$12)</f>
        <v/>
      </c>
      <c r="F238" s="35" t="n">
        <v>393834.4993178853</v>
      </c>
      <c r="G238" s="36">
        <f>IF(F237&gt;0,F238/F237-1,"")</f>
        <v/>
      </c>
      <c r="H238" s="36">
        <f>IF(G238="","",G238-$D$12)</f>
        <v/>
      </c>
    </row>
    <row r="239">
      <c r="B239" s="34" t="inlineStr">
        <is>
          <t>2022-08-05</t>
        </is>
      </c>
      <c r="C239" s="35" t="n">
        <v>426708.2064338316</v>
      </c>
      <c r="D239" s="36">
        <f>IF(C238&gt;0,C239/C238-1,"")</f>
        <v/>
      </c>
      <c r="E239" s="36">
        <f>IF(D239="","",D239-$C$12)</f>
        <v/>
      </c>
      <c r="F239" s="35" t="n">
        <v>393885.1101641681</v>
      </c>
      <c r="G239" s="36">
        <f>IF(F238&gt;0,F239/F238-1,"")</f>
        <v/>
      </c>
      <c r="H239" s="36">
        <f>IF(G239="","",G239-$D$12)</f>
        <v/>
      </c>
    </row>
    <row r="240">
      <c r="B240" s="34" t="inlineStr">
        <is>
          <t>2022-08-08</t>
        </is>
      </c>
      <c r="C240" s="35" t="n">
        <v>426400.604961213</v>
      </c>
      <c r="D240" s="36">
        <f>IF(C239&gt;0,C240/C239-1,"")</f>
        <v/>
      </c>
      <c r="E240" s="36">
        <f>IF(D240="","",D240-$C$12)</f>
        <v/>
      </c>
      <c r="F240" s="35" t="n">
        <v>393859.9729675737</v>
      </c>
      <c r="G240" s="36">
        <f>IF(F239&gt;0,F240/F239-1,"")</f>
        <v/>
      </c>
      <c r="H240" s="36">
        <f>IF(G240="","",G240-$D$12)</f>
        <v/>
      </c>
    </row>
    <row r="241">
      <c r="B241" s="34" t="inlineStr">
        <is>
          <t>2022-08-09</t>
        </is>
      </c>
      <c r="C241" s="35" t="n">
        <v>426613.00973232</v>
      </c>
      <c r="D241" s="36">
        <f>IF(C240&gt;0,C241/C240-1,"")</f>
        <v/>
      </c>
      <c r="E241" s="36">
        <f>IF(D241="","",D241-$C$12)</f>
        <v/>
      </c>
      <c r="F241" s="35" t="n">
        <v>393880.1980293461</v>
      </c>
      <c r="G241" s="36">
        <f>IF(F240&gt;0,F241/F240-1,"")</f>
        <v/>
      </c>
      <c r="H241" s="36">
        <f>IF(G241="","",G241-$D$12)</f>
        <v/>
      </c>
    </row>
    <row r="242">
      <c r="B242" s="34" t="inlineStr">
        <is>
          <t>2022-08-10</t>
        </is>
      </c>
      <c r="C242" s="35" t="n">
        <v>427756.7177068394</v>
      </c>
      <c r="D242" s="36">
        <f>IF(C241&gt;0,C242/C241-1,"")</f>
        <v/>
      </c>
      <c r="E242" s="36">
        <f>IF(D242="","",D242-$C$12)</f>
        <v/>
      </c>
      <c r="F242" s="35" t="n">
        <v>394904.5791035164</v>
      </c>
      <c r="G242" s="36">
        <f>IF(F241&gt;0,F242/F241-1,"")</f>
        <v/>
      </c>
      <c r="H242" s="36">
        <f>IF(G242="","",G242-$D$12)</f>
        <v/>
      </c>
    </row>
    <row r="243">
      <c r="B243" s="34" t="inlineStr">
        <is>
          <t>2022-08-11</t>
        </is>
      </c>
      <c r="C243" s="35" t="n">
        <v>428743.3410587551</v>
      </c>
      <c r="D243" s="36">
        <f>IF(C242&gt;0,C243/C242-1,"")</f>
        <v/>
      </c>
      <c r="E243" s="36">
        <f>IF(D243="","",D243-$C$12)</f>
        <v/>
      </c>
      <c r="F243" s="35" t="n">
        <v>395448.0149464936</v>
      </c>
      <c r="G243" s="36">
        <f>IF(F242&gt;0,F243/F242-1,"")</f>
        <v/>
      </c>
      <c r="H243" s="36">
        <f>IF(G243="","",G243-$D$12)</f>
        <v/>
      </c>
    </row>
    <row r="244">
      <c r="B244" s="34" t="inlineStr">
        <is>
          <t>2022-08-12</t>
        </is>
      </c>
      <c r="C244" s="35" t="n">
        <v>428294.9919682666</v>
      </c>
      <c r="D244" s="36">
        <f>IF(C243&gt;0,C244/C243-1,"")</f>
        <v/>
      </c>
      <c r="E244" s="36">
        <f>IF(D244="","",D244-$C$12)</f>
        <v/>
      </c>
      <c r="F244" s="35" t="n">
        <v>395107.8671505611</v>
      </c>
      <c r="G244" s="36">
        <f>IF(F243&gt;0,F244/F243-1,"")</f>
        <v/>
      </c>
      <c r="H244" s="36">
        <f>IF(G244="","",G244-$D$12)</f>
        <v/>
      </c>
    </row>
    <row r="245">
      <c r="B245" s="34" t="inlineStr">
        <is>
          <t>2022-08-15</t>
        </is>
      </c>
      <c r="C245" s="35" t="n">
        <v>427917.3996069297</v>
      </c>
      <c r="D245" s="36">
        <f>IF(C244&gt;0,C245/C244-1,"")</f>
        <v/>
      </c>
      <c r="E245" s="36">
        <f>IF(D245="","",D245-$C$12)</f>
        <v/>
      </c>
      <c r="F245" s="35" t="n">
        <v>395042.4710213135</v>
      </c>
      <c r="G245" s="36">
        <f>IF(F244&gt;0,F245/F244-1,"")</f>
        <v/>
      </c>
      <c r="H245" s="36">
        <f>IF(G245="","",G245-$D$12)</f>
        <v/>
      </c>
    </row>
    <row r="246">
      <c r="B246" s="34" t="inlineStr">
        <is>
          <t>2022-08-16</t>
        </is>
      </c>
      <c r="C246" s="35" t="n">
        <v>427865.2765960692</v>
      </c>
      <c r="D246" s="36">
        <f>IF(C245&gt;0,C246/C245-1,"")</f>
        <v/>
      </c>
      <c r="E246" s="36">
        <f>IF(D246="","",D246-$C$12)</f>
        <v/>
      </c>
      <c r="F246" s="35" t="n">
        <v>394982.6305891703</v>
      </c>
      <c r="G246" s="36">
        <f>IF(F245&gt;0,F246/F245-1,"")</f>
        <v/>
      </c>
      <c r="H246" s="36">
        <f>IF(G246="","",G246-$D$12)</f>
        <v/>
      </c>
    </row>
    <row r="247">
      <c r="B247" s="34" t="inlineStr">
        <is>
          <t>2022-08-17</t>
        </is>
      </c>
      <c r="C247" s="35" t="n">
        <v>426300.8169836727</v>
      </c>
      <c r="D247" s="36">
        <f>IF(C246&gt;0,C247/C246-1,"")</f>
        <v/>
      </c>
      <c r="E247" s="36">
        <f>IF(D247="","",D247-$C$12)</f>
        <v/>
      </c>
      <c r="F247" s="35" t="n">
        <v>393132.8662571293</v>
      </c>
      <c r="G247" s="36">
        <f>IF(F246&gt;0,F247/F246-1,"")</f>
        <v/>
      </c>
      <c r="H247" s="36">
        <f>IF(G247="","",G247-$D$12)</f>
        <v/>
      </c>
    </row>
    <row r="248">
      <c r="B248" s="34" t="inlineStr">
        <is>
          <t>2022-08-18</t>
        </is>
      </c>
      <c r="C248" s="35" t="n">
        <v>427451.637503455</v>
      </c>
      <c r="D248" s="36">
        <f>IF(C247&gt;0,C248/C247-1,"")</f>
        <v/>
      </c>
      <c r="E248" s="36">
        <f>IF(D248="","",D248-$C$12)</f>
        <v/>
      </c>
      <c r="F248" s="35" t="n">
        <v>394150.7974923379</v>
      </c>
      <c r="G248" s="36">
        <f>IF(F247&gt;0,F248/F247-1,"")</f>
        <v/>
      </c>
      <c r="H248" s="36">
        <f>IF(G248="","",G248-$D$12)</f>
        <v/>
      </c>
    </row>
    <row r="249">
      <c r="B249" s="34" t="inlineStr">
        <is>
          <t>2022-08-19</t>
        </is>
      </c>
      <c r="C249" s="35" t="n">
        <v>426778.379685511</v>
      </c>
      <c r="D249" s="36">
        <f>IF(C248&gt;0,C249/C248-1,"")</f>
        <v/>
      </c>
      <c r="E249" s="36">
        <f>IF(D249="","",D249-$C$12)</f>
        <v/>
      </c>
      <c r="F249" s="35" t="n">
        <v>393667.612627925</v>
      </c>
      <c r="G249" s="36">
        <f>IF(F248&gt;0,F249/F248-1,"")</f>
        <v/>
      </c>
      <c r="H249" s="36">
        <f>IF(G249="","",G249-$D$12)</f>
        <v/>
      </c>
    </row>
    <row r="250">
      <c r="B250" s="34" t="inlineStr">
        <is>
          <t>2022-08-22</t>
        </is>
      </c>
      <c r="C250" s="35" t="n">
        <v>426303.8885850654</v>
      </c>
      <c r="D250" s="36">
        <f>IF(C249&gt;0,C250/C249-1,"")</f>
        <v/>
      </c>
      <c r="E250" s="36">
        <f>IF(D250="","",D250-$C$12)</f>
        <v/>
      </c>
      <c r="F250" s="35" t="n">
        <v>392979.7821997441</v>
      </c>
      <c r="G250" s="36">
        <f>IF(F249&gt;0,F250/F249-1,"")</f>
        <v/>
      </c>
      <c r="H250" s="36">
        <f>IF(G250="","",G250-$D$12)</f>
        <v/>
      </c>
    </row>
    <row r="251">
      <c r="B251" s="34" t="inlineStr">
        <is>
          <t>2022-08-23</t>
        </is>
      </c>
      <c r="C251" s="35" t="n">
        <v>425224.7966094992</v>
      </c>
      <c r="D251" s="36">
        <f>IF(C250&gt;0,C251/C250-1,"")</f>
        <v/>
      </c>
      <c r="E251" s="36">
        <f>IF(D251="","",D251-$C$12)</f>
        <v/>
      </c>
      <c r="F251" s="35" t="n">
        <v>391621.28961348</v>
      </c>
      <c r="G251" s="36">
        <f>IF(F250&gt;0,F251/F250-1,"")</f>
        <v/>
      </c>
      <c r="H251" s="36">
        <f>IF(G251="","",G251-$D$12)</f>
        <v/>
      </c>
    </row>
    <row r="252">
      <c r="B252" s="34" t="inlineStr">
        <is>
          <t>2022-08-24</t>
        </is>
      </c>
      <c r="C252" s="35" t="n">
        <v>427250.5249713638</v>
      </c>
      <c r="D252" s="36">
        <f>IF(C251&gt;0,C252/C251-1,"")</f>
        <v/>
      </c>
      <c r="E252" s="36">
        <f>IF(D252="","",D252-$C$12)</f>
        <v/>
      </c>
      <c r="F252" s="35" t="n">
        <v>393185.4347872946</v>
      </c>
      <c r="G252" s="36">
        <f>IF(F251&gt;0,F252/F251-1,"")</f>
        <v/>
      </c>
      <c r="H252" s="36">
        <f>IF(G252="","",G252-$D$12)</f>
        <v/>
      </c>
    </row>
    <row r="253">
      <c r="B253" s="34" t="inlineStr">
        <is>
          <t>2022-08-25</t>
        </is>
      </c>
      <c r="C253" s="35" t="n">
        <v>428244.2227808069</v>
      </c>
      <c r="D253" s="36">
        <f>IF(C252&gt;0,C253/C252-1,"")</f>
        <v/>
      </c>
      <c r="E253" s="36">
        <f>IF(D253="","",D253-$C$12)</f>
        <v/>
      </c>
      <c r="F253" s="35" t="n">
        <v>393909.1836413131</v>
      </c>
      <c r="G253" s="36">
        <f>IF(F252&gt;0,F253/F252-1,"")</f>
        <v/>
      </c>
      <c r="H253" s="36">
        <f>IF(G253="","",G253-$D$12)</f>
        <v/>
      </c>
    </row>
    <row r="254">
      <c r="B254" s="34" t="inlineStr">
        <is>
          <t>2022-08-26</t>
        </is>
      </c>
      <c r="C254" s="35" t="n">
        <v>425664.9859097336</v>
      </c>
      <c r="D254" s="36">
        <f>IF(C253&gt;0,C254/C253-1,"")</f>
        <v/>
      </c>
      <c r="E254" s="36">
        <f>IF(D254="","",D254-$C$12)</f>
        <v/>
      </c>
      <c r="F254" s="35" t="n">
        <v>391768.0592308407</v>
      </c>
      <c r="G254" s="36">
        <f>IF(F253&gt;0,F254/F253-1,"")</f>
        <v/>
      </c>
      <c r="H254" s="36">
        <f>IF(G254="","",G254-$D$12)</f>
        <v/>
      </c>
    </row>
    <row r="255">
      <c r="B255" s="34" t="inlineStr">
        <is>
          <t>2022-08-29</t>
        </is>
      </c>
      <c r="C255" s="35" t="n">
        <v>424338.6732487116</v>
      </c>
      <c r="D255" s="36">
        <f>IF(C254&gt;0,C255/C254-1,"")</f>
        <v/>
      </c>
      <c r="E255" s="36">
        <f>IF(D255="","",D255-$C$12)</f>
        <v/>
      </c>
      <c r="F255" s="35" t="n">
        <v>390514.921414195</v>
      </c>
      <c r="G255" s="36">
        <f>IF(F254&gt;0,F255/F254-1,"")</f>
        <v/>
      </c>
      <c r="H255" s="36">
        <f>IF(G255="","",G255-$D$12)</f>
        <v/>
      </c>
    </row>
    <row r="256">
      <c r="B256" s="34" t="inlineStr">
        <is>
          <t>2022-08-30</t>
        </is>
      </c>
      <c r="C256" s="35" t="n">
        <v>423039.7295938958</v>
      </c>
      <c r="D256" s="36">
        <f>IF(C255&gt;0,C256/C255-1,"")</f>
        <v/>
      </c>
      <c r="E256" s="36">
        <f>IF(D256="","",D256-$C$12)</f>
        <v/>
      </c>
      <c r="F256" s="35" t="n">
        <v>389263.1785500646</v>
      </c>
      <c r="G256" s="36">
        <f>IF(F255&gt;0,F256/F255-1,"")</f>
        <v/>
      </c>
      <c r="H256" s="36">
        <f>IF(G256="","",G256-$D$12)</f>
        <v/>
      </c>
    </row>
    <row r="257">
      <c r="B257" s="34" t="inlineStr">
        <is>
          <t>2022-08-31</t>
        </is>
      </c>
      <c r="C257" s="35" t="n">
        <v>422982.7550942983</v>
      </c>
      <c r="D257" s="36">
        <f>IF(C256&gt;0,C257/C256-1,"")</f>
        <v/>
      </c>
      <c r="E257" s="36">
        <f>IF(D257="","",D257-$C$12)</f>
        <v/>
      </c>
      <c r="F257" s="35" t="n">
        <v>389360.3448821111</v>
      </c>
      <c r="G257" s="36">
        <f>IF(F256&gt;0,F257/F256-1,"")</f>
        <v/>
      </c>
      <c r="H257" s="36">
        <f>IF(G257="","",G257-$D$12)</f>
        <v/>
      </c>
    </row>
    <row r="258">
      <c r="B258" s="34" t="inlineStr">
        <is>
          <t>2022-09-01</t>
        </is>
      </c>
      <c r="C258" s="35" t="n">
        <v>418652.4380118091</v>
      </c>
      <c r="D258" s="36">
        <f>IF(C257&gt;0,C258/C257-1,"")</f>
        <v/>
      </c>
      <c r="E258" s="36">
        <f>IF(D258="","",D258-$C$12)</f>
        <v/>
      </c>
      <c r="F258" s="35" t="n">
        <v>386097.861673054</v>
      </c>
      <c r="G258" s="36">
        <f>IF(F257&gt;0,F258/F257-1,"")</f>
        <v/>
      </c>
      <c r="H258" s="36">
        <f>IF(G258="","",G258-$D$12)</f>
        <v/>
      </c>
    </row>
    <row r="259">
      <c r="B259" s="34" t="inlineStr">
        <is>
          <t>2022-09-02</t>
        </is>
      </c>
      <c r="C259" s="35" t="n">
        <v>422243.3239631008</v>
      </c>
      <c r="D259" s="36">
        <f>IF(C258&gt;0,C259/C258-1,"")</f>
        <v/>
      </c>
      <c r="E259" s="36">
        <f>IF(D259="","",D259-$C$12)</f>
        <v/>
      </c>
      <c r="F259" s="35" t="n">
        <v>388882.7186399431</v>
      </c>
      <c r="G259" s="36">
        <f>IF(F258&gt;0,F259/F258-1,"")</f>
        <v/>
      </c>
      <c r="H259" s="36">
        <f>IF(G259="","",G259-$D$12)</f>
        <v/>
      </c>
    </row>
    <row r="260">
      <c r="B260" s="34" t="inlineStr">
        <is>
          <t>2022-09-05</t>
        </is>
      </c>
      <c r="C260" s="35" t="n">
        <v>421571.3619413253</v>
      </c>
      <c r="D260" s="36">
        <f>IF(C259&gt;0,C260/C259-1,"")</f>
        <v/>
      </c>
      <c r="E260" s="36">
        <f>IF(D260="","",D260-$C$12)</f>
        <v/>
      </c>
      <c r="F260" s="35" t="n">
        <v>387974.8633084862</v>
      </c>
      <c r="G260" s="36">
        <f>IF(F259&gt;0,F260/F259-1,"")</f>
        <v/>
      </c>
      <c r="H260" s="36">
        <f>IF(G260="","",G260-$D$12)</f>
        <v/>
      </c>
    </row>
    <row r="261">
      <c r="B261" s="34" t="inlineStr">
        <is>
          <t>2022-09-06</t>
        </is>
      </c>
      <c r="C261" s="35" t="n">
        <v>421041.3609394568</v>
      </c>
      <c r="D261" s="36">
        <f>IF(C260&gt;0,C261/C260-1,"")</f>
        <v/>
      </c>
      <c r="E261" s="36">
        <f>IF(D261="","",D261-$C$12)</f>
        <v/>
      </c>
      <c r="F261" s="35" t="n">
        <v>387817.9579816257</v>
      </c>
      <c r="G261" s="36">
        <f>IF(F260&gt;0,F261/F260-1,"")</f>
        <v/>
      </c>
      <c r="H261" s="36">
        <f>IF(G261="","",G261-$D$12)</f>
        <v/>
      </c>
    </row>
    <row r="262">
      <c r="B262" s="34" t="inlineStr">
        <is>
          <t>2022-09-07</t>
        </is>
      </c>
      <c r="C262" s="35" t="n">
        <v>419152.2549579274</v>
      </c>
      <c r="D262" s="36">
        <f>IF(C261&gt;0,C262/C261-1,"")</f>
        <v/>
      </c>
      <c r="E262" s="36">
        <f>IF(D262="","",D262-$C$12)</f>
        <v/>
      </c>
      <c r="F262" s="35" t="n">
        <v>386371.9920572055</v>
      </c>
      <c r="G262" s="36">
        <f>IF(F261&gt;0,F262/F261-1,"")</f>
        <v/>
      </c>
      <c r="H262" s="36">
        <f>IF(G262="","",G262-$D$12)</f>
        <v/>
      </c>
    </row>
    <row r="263">
      <c r="B263" s="34" t="inlineStr">
        <is>
          <t>2022-09-08</t>
        </is>
      </c>
      <c r="C263" s="35" t="n">
        <v>419281.6418746188</v>
      </c>
      <c r="D263" s="36">
        <f>IF(C262&gt;0,C263/C262-1,"")</f>
        <v/>
      </c>
      <c r="E263" s="36">
        <f>IF(D263="","",D263-$C$12)</f>
        <v/>
      </c>
      <c r="F263" s="35" t="n">
        <v>386560.018360625</v>
      </c>
      <c r="G263" s="36">
        <f>IF(F262&gt;0,F263/F262-1,"")</f>
        <v/>
      </c>
      <c r="H263" s="36">
        <f>IF(G263="","",G263-$D$12)</f>
        <v/>
      </c>
    </row>
    <row r="264">
      <c r="B264" s="34" t="inlineStr">
        <is>
          <t>2022-09-09</t>
        </is>
      </c>
      <c r="C264" s="35" t="n">
        <v>421379.547246693</v>
      </c>
      <c r="D264" s="36">
        <f>IF(C263&gt;0,C264/C263-1,"")</f>
        <v/>
      </c>
      <c r="E264" s="36">
        <f>IF(D264="","",D264-$C$12)</f>
        <v/>
      </c>
      <c r="F264" s="35" t="n">
        <v>388265.7533951745</v>
      </c>
      <c r="G264" s="36">
        <f>IF(F263&gt;0,F264/F263-1,"")</f>
        <v/>
      </c>
      <c r="H264" s="36">
        <f>IF(G264="","",G264-$D$12)</f>
        <v/>
      </c>
    </row>
    <row r="265">
      <c r="B265" s="34" t="inlineStr">
        <is>
          <t>2022-09-12</t>
        </is>
      </c>
      <c r="C265" s="35" t="n">
        <v>423014.9691129216</v>
      </c>
      <c r="D265" s="36">
        <f>IF(C264&gt;0,C265/C264-1,"")</f>
        <v/>
      </c>
      <c r="E265" s="36">
        <f>IF(D265="","",D265-$C$12)</f>
        <v/>
      </c>
      <c r="F265" s="35" t="n">
        <v>389491.0327552996</v>
      </c>
      <c r="G265" s="36">
        <f>IF(F264&gt;0,F265/F264-1,"")</f>
        <v/>
      </c>
      <c r="H265" s="36">
        <f>IF(G265="","",G265-$D$12)</f>
        <v/>
      </c>
    </row>
    <row r="266">
      <c r="B266" s="34" t="inlineStr">
        <is>
          <t>2022-09-13</t>
        </is>
      </c>
      <c r="C266" s="35" t="n">
        <v>420632.6109232131</v>
      </c>
      <c r="D266" s="36">
        <f>IF(C265&gt;0,C266/C265-1,"")</f>
        <v/>
      </c>
      <c r="E266" s="36">
        <f>IF(D266="","",D266-$C$12)</f>
        <v/>
      </c>
      <c r="F266" s="35" t="n">
        <v>387224.7336380935</v>
      </c>
      <c r="G266" s="36">
        <f>IF(F265&gt;0,F266/F265-1,"")</f>
        <v/>
      </c>
      <c r="H266" s="36">
        <f>IF(G266="","",G266-$D$12)</f>
        <v/>
      </c>
    </row>
    <row r="267">
      <c r="B267" s="34" t="inlineStr">
        <is>
          <t>2022-09-14</t>
        </is>
      </c>
      <c r="C267" s="35" t="n">
        <v>419134.1652243756</v>
      </c>
      <c r="D267" s="36">
        <f>IF(C266&gt;0,C267/C266-1,"")</f>
        <v/>
      </c>
      <c r="E267" s="36">
        <f>IF(D267="","",D267-$C$12)</f>
        <v/>
      </c>
      <c r="F267" s="35" t="n">
        <v>386012.8824090228</v>
      </c>
      <c r="G267" s="36">
        <f>IF(F266&gt;0,F267/F266-1,"")</f>
        <v/>
      </c>
      <c r="H267" s="36">
        <f>IF(G267="","",G267-$D$12)</f>
        <v/>
      </c>
    </row>
    <row r="268">
      <c r="B268" s="34" t="inlineStr">
        <is>
          <t>2022-09-15</t>
        </is>
      </c>
      <c r="C268" s="35" t="n">
        <v>417943.2863236074</v>
      </c>
      <c r="D268" s="36">
        <f>IF(C267&gt;0,C268/C267-1,"")</f>
        <v/>
      </c>
      <c r="E268" s="36">
        <f>IF(D268="","",D268-$C$12)</f>
        <v/>
      </c>
      <c r="F268" s="35" t="n">
        <v>385143.1933858283</v>
      </c>
      <c r="G268" s="36">
        <f>IF(F267&gt;0,F268/F267-1,"")</f>
        <v/>
      </c>
      <c r="H268" s="36">
        <f>IF(G268="","",G268-$D$12)</f>
        <v/>
      </c>
    </row>
    <row r="269">
      <c r="B269" s="34" t="inlineStr">
        <is>
          <t>2022-09-16</t>
        </is>
      </c>
      <c r="C269" s="35" t="n">
        <v>416860.9723267209</v>
      </c>
      <c r="D269" s="36">
        <f>IF(C268&gt;0,C269/C268-1,"")</f>
        <v/>
      </c>
      <c r="E269" s="36">
        <f>IF(D269="","",D269-$C$12)</f>
        <v/>
      </c>
      <c r="F269" s="35" t="n">
        <v>384054.1484239478</v>
      </c>
      <c r="G269" s="36">
        <f>IF(F268&gt;0,F269/F268-1,"")</f>
        <v/>
      </c>
      <c r="H269" s="36">
        <f>IF(G269="","",G269-$D$12)</f>
        <v/>
      </c>
    </row>
    <row r="270">
      <c r="B270" s="34" t="inlineStr">
        <is>
          <t>2022-09-19</t>
        </is>
      </c>
      <c r="C270" s="35" t="n">
        <v>417012.6576420118</v>
      </c>
      <c r="D270" s="36">
        <f>IF(C269&gt;0,C270/C269-1,"")</f>
        <v/>
      </c>
      <c r="E270" s="36">
        <f>IF(D270="","",D270-$C$12)</f>
        <v/>
      </c>
      <c r="F270" s="35" t="n">
        <v>384427.9289221331</v>
      </c>
      <c r="G270" s="36">
        <f>IF(F269&gt;0,F270/F269-1,"")</f>
        <v/>
      </c>
      <c r="H270" s="36">
        <f>IF(G270="","",G270-$D$12)</f>
        <v/>
      </c>
    </row>
    <row r="271">
      <c r="B271" s="34" t="inlineStr">
        <is>
          <t>2022-09-20</t>
        </is>
      </c>
      <c r="C271" s="35" t="n">
        <v>413395.005882867</v>
      </c>
      <c r="D271" s="36">
        <f>IF(C270&gt;0,C271/C270-1,"")</f>
        <v/>
      </c>
      <c r="E271" s="36">
        <f>IF(D271="","",D271-$C$12)</f>
        <v/>
      </c>
      <c r="F271" s="35" t="n">
        <v>381463.7405583317</v>
      </c>
      <c r="G271" s="36">
        <f>IF(F270&gt;0,F271/F270-1,"")</f>
        <v/>
      </c>
      <c r="H271" s="36">
        <f>IF(G271="","",G271-$D$12)</f>
        <v/>
      </c>
    </row>
    <row r="272">
      <c r="B272" s="34" t="inlineStr">
        <is>
          <t>2022-09-21</t>
        </is>
      </c>
      <c r="C272" s="35" t="n">
        <v>412849.5238329885</v>
      </c>
      <c r="D272" s="36">
        <f>IF(C271&gt;0,C272/C271-1,"")</f>
        <v/>
      </c>
      <c r="E272" s="36">
        <f>IF(D272="","",D272-$C$12)</f>
        <v/>
      </c>
      <c r="F272" s="35" t="n">
        <v>380606.7785041603</v>
      </c>
      <c r="G272" s="36">
        <f>IF(F271&gt;0,F272/F271-1,"")</f>
        <v/>
      </c>
      <c r="H272" s="36">
        <f>IF(G272="","",G272-$D$12)</f>
        <v/>
      </c>
    </row>
    <row r="273">
      <c r="B273" s="34" t="inlineStr">
        <is>
          <t>2022-09-22</t>
        </is>
      </c>
      <c r="C273" s="35" t="n">
        <v>411062.5428528542</v>
      </c>
      <c r="D273" s="36">
        <f>IF(C272&gt;0,C273/C272-1,"")</f>
        <v/>
      </c>
      <c r="E273" s="36">
        <f>IF(D273="","",D273-$C$12)</f>
        <v/>
      </c>
      <c r="F273" s="35" t="n">
        <v>378873.7258457273</v>
      </c>
      <c r="G273" s="36">
        <f>IF(F272&gt;0,F273/F272-1,"")</f>
        <v/>
      </c>
      <c r="H273" s="36">
        <f>IF(G273="","",G273-$D$12)</f>
        <v/>
      </c>
    </row>
    <row r="274">
      <c r="B274" s="34" t="inlineStr">
        <is>
          <t>2022-09-23</t>
        </is>
      </c>
      <c r="C274" s="35" t="n">
        <v>406638.0853024008</v>
      </c>
      <c r="D274" s="36">
        <f>IF(C273&gt;0,C274/C273-1,"")</f>
        <v/>
      </c>
      <c r="E274" s="36">
        <f>IF(D274="","",D274-$C$12)</f>
        <v/>
      </c>
      <c r="F274" s="35" t="n">
        <v>375145.3177395572</v>
      </c>
      <c r="G274" s="36">
        <f>IF(F273&gt;0,F274/F273-1,"")</f>
        <v/>
      </c>
      <c r="H274" s="36">
        <f>IF(G274="","",G274-$D$12)</f>
        <v/>
      </c>
    </row>
    <row r="275">
      <c r="B275" s="34" t="inlineStr">
        <is>
          <t>2022-09-26</t>
        </is>
      </c>
      <c r="C275" s="35" t="n">
        <v>404701.0198267988</v>
      </c>
      <c r="D275" s="36">
        <f>IF(C274&gt;0,C275/C274-1,"")</f>
        <v/>
      </c>
      <c r="E275" s="36">
        <f>IF(D275="","",D275-$C$12)</f>
        <v/>
      </c>
      <c r="F275" s="35" t="n">
        <v>373386.5504677295</v>
      </c>
      <c r="G275" s="36">
        <f>IF(F274&gt;0,F275/F274-1,"")</f>
        <v/>
      </c>
      <c r="H275" s="36">
        <f>IF(G275="","",G275-$D$12)</f>
        <v/>
      </c>
    </row>
    <row r="276">
      <c r="B276" s="34" t="inlineStr">
        <is>
          <t>2022-09-27</t>
        </is>
      </c>
      <c r="C276" s="35" t="n">
        <v>406610.1883710491</v>
      </c>
      <c r="D276" s="36">
        <f>IF(C275&gt;0,C276/C275-1,"")</f>
        <v/>
      </c>
      <c r="E276" s="36">
        <f>IF(D276="","",D276-$C$12)</f>
        <v/>
      </c>
      <c r="F276" s="35" t="n">
        <v>374960.5865759505</v>
      </c>
      <c r="G276" s="36">
        <f>IF(F275&gt;0,F276/F275-1,"")</f>
        <v/>
      </c>
      <c r="H276" s="36">
        <f>IF(G276="","",G276-$D$12)</f>
        <v/>
      </c>
    </row>
    <row r="277">
      <c r="B277" s="34" t="inlineStr">
        <is>
          <t>2022-09-28</t>
        </is>
      </c>
      <c r="C277" s="35" t="n">
        <v>407179.1441062049</v>
      </c>
      <c r="D277" s="36">
        <f>IF(C276&gt;0,C277/C276-1,"")</f>
        <v/>
      </c>
      <c r="E277" s="36">
        <f>IF(D277="","",D277-$C$12)</f>
        <v/>
      </c>
      <c r="F277" s="35" t="n">
        <v>375649.4051833333</v>
      </c>
      <c r="G277" s="36">
        <f>IF(F276&gt;0,F277/F276-1,"")</f>
        <v/>
      </c>
      <c r="H277" s="36">
        <f>IF(G277="","",G277-$D$12)</f>
        <v/>
      </c>
    </row>
    <row r="278">
      <c r="B278" s="34" t="inlineStr">
        <is>
          <t>2022-09-29</t>
        </is>
      </c>
      <c r="C278" s="35" t="n">
        <v>405422.4340362233</v>
      </c>
      <c r="D278" s="36">
        <f>IF(C277&gt;0,C278/C277-1,"")</f>
        <v/>
      </c>
      <c r="E278" s="36">
        <f>IF(D278="","",D278-$C$12)</f>
        <v/>
      </c>
      <c r="F278" s="35" t="n">
        <v>373790.9216295782</v>
      </c>
      <c r="G278" s="36">
        <f>IF(F277&gt;0,F278/F277-1,"")</f>
        <v/>
      </c>
      <c r="H278" s="36">
        <f>IF(G278="","",G278-$D$12)</f>
        <v/>
      </c>
    </row>
    <row r="279">
      <c r="B279" s="34" t="inlineStr">
        <is>
          <t>2022-09-30</t>
        </is>
      </c>
      <c r="C279" s="35" t="n">
        <v>406733.4764840309</v>
      </c>
      <c r="D279" s="36">
        <f>IF(C278&gt;0,C279/C278-1,"")</f>
        <v/>
      </c>
      <c r="E279" s="36">
        <f>IF(D279="","",D279-$C$12)</f>
        <v/>
      </c>
      <c r="F279" s="35" t="n">
        <v>375263.6459864039</v>
      </c>
      <c r="G279" s="36">
        <f>IF(F278&gt;0,F279/F278-1,"")</f>
        <v/>
      </c>
      <c r="H279" s="36">
        <f>IF(G279="","",G279-$D$12)</f>
        <v/>
      </c>
    </row>
    <row r="280">
      <c r="B280" s="34" t="inlineStr">
        <is>
          <t>2022-10-03</t>
        </is>
      </c>
      <c r="C280" s="35" t="n">
        <v>409494.8468801384</v>
      </c>
      <c r="D280" s="36">
        <f>IF(C279&gt;0,C280/C279-1,"")</f>
        <v/>
      </c>
      <c r="E280" s="36">
        <f>IF(D280="","",D280-$C$12)</f>
        <v/>
      </c>
      <c r="F280" s="35" t="n">
        <v>377481.6971582409</v>
      </c>
      <c r="G280" s="36">
        <f>IF(F279&gt;0,F280/F279-1,"")</f>
        <v/>
      </c>
      <c r="H280" s="36">
        <f>IF(G280="","",G280-$D$12)</f>
        <v/>
      </c>
    </row>
    <row r="281">
      <c r="B281" s="34" t="inlineStr">
        <is>
          <t>2022-10-04</t>
        </is>
      </c>
      <c r="C281" s="35" t="n">
        <v>414657.137562653</v>
      </c>
      <c r="D281" s="36">
        <f>IF(C280&gt;0,C281/C280-1,"")</f>
        <v/>
      </c>
      <c r="E281" s="36">
        <f>IF(D281="","",D281-$C$12)</f>
        <v/>
      </c>
      <c r="F281" s="35" t="n">
        <v>382260.0058549762</v>
      </c>
      <c r="G281" s="36">
        <f>IF(F280&gt;0,F281/F280-1,"")</f>
        <v/>
      </c>
      <c r="H281" s="36">
        <f>IF(G281="","",G281-$D$12)</f>
        <v/>
      </c>
    </row>
    <row r="282">
      <c r="B282" s="34" t="inlineStr">
        <is>
          <t>2022-10-05</t>
        </is>
      </c>
      <c r="C282" s="35" t="n">
        <v>413157.7726235213</v>
      </c>
      <c r="D282" s="36">
        <f>IF(C281&gt;0,C282/C281-1,"")</f>
        <v/>
      </c>
      <c r="E282" s="36">
        <f>IF(D282="","",D282-$C$12)</f>
        <v/>
      </c>
      <c r="F282" s="35" t="n">
        <v>380565.2753681418</v>
      </c>
      <c r="G282" s="36">
        <f>IF(F281&gt;0,F282/F281-1,"")</f>
        <v/>
      </c>
      <c r="H282" s="36">
        <f>IF(G282="","",G282-$D$12)</f>
        <v/>
      </c>
    </row>
    <row r="283">
      <c r="B283" s="34" t="inlineStr">
        <is>
          <t>2022-10-06</t>
        </is>
      </c>
      <c r="C283" s="35" t="n">
        <v>412389.2758879827</v>
      </c>
      <c r="D283" s="36">
        <f>IF(C282&gt;0,C283/C282-1,"")</f>
        <v/>
      </c>
      <c r="E283" s="36">
        <f>IF(D283="","",D283-$C$12)</f>
        <v/>
      </c>
      <c r="F283" s="35" t="n">
        <v>379785.6791557269</v>
      </c>
      <c r="G283" s="36">
        <f>IF(F282&gt;0,F283/F282-1,"")</f>
        <v/>
      </c>
      <c r="H283" s="36">
        <f>IF(G283="","",G283-$D$12)</f>
        <v/>
      </c>
    </row>
    <row r="284">
      <c r="B284" s="34" t="inlineStr">
        <is>
          <t>2022-10-07</t>
        </is>
      </c>
      <c r="C284" s="35" t="n">
        <v>409942.6922886526</v>
      </c>
      <c r="D284" s="36">
        <f>IF(C283&gt;0,C284/C283-1,"")</f>
        <v/>
      </c>
      <c r="E284" s="36">
        <f>IF(D284="","",D284-$C$12)</f>
        <v/>
      </c>
      <c r="F284" s="35" t="n">
        <v>377557.5630573047</v>
      </c>
      <c r="G284" s="36">
        <f>IF(F283&gt;0,F284/F283-1,"")</f>
        <v/>
      </c>
      <c r="H284" s="36">
        <f>IF(G284="","",G284-$D$12)</f>
        <v/>
      </c>
    </row>
    <row r="285">
      <c r="B285" s="34" t="inlineStr">
        <is>
          <t>2022-10-10</t>
        </is>
      </c>
      <c r="C285" s="35" t="n">
        <v>408684.991278094</v>
      </c>
      <c r="D285" s="36">
        <f>IF(C284&gt;0,C285/C284-1,"")</f>
        <v/>
      </c>
      <c r="E285" s="36">
        <f>IF(D285="","",D285-$C$12)</f>
        <v/>
      </c>
      <c r="F285" s="35" t="n">
        <v>376651.9864173484</v>
      </c>
      <c r="G285" s="36">
        <f>IF(F284&gt;0,F285/F284-1,"")</f>
        <v/>
      </c>
      <c r="H285" s="36">
        <f>IF(G285="","",G285-$D$12)</f>
        <v/>
      </c>
    </row>
    <row r="286">
      <c r="B286" s="34" t="inlineStr">
        <is>
          <t>2022-10-11</t>
        </is>
      </c>
      <c r="C286" s="35" t="n">
        <v>407080.878703767</v>
      </c>
      <c r="D286" s="36">
        <f>IF(C285&gt;0,C286/C285-1,"")</f>
        <v/>
      </c>
      <c r="E286" s="36">
        <f>IF(D286="","",D286-$C$12)</f>
        <v/>
      </c>
      <c r="F286" s="35" t="n">
        <v>375482.1384319324</v>
      </c>
      <c r="G286" s="36">
        <f>IF(F285&gt;0,F286/F285-1,"")</f>
        <v/>
      </c>
      <c r="H286" s="36">
        <f>IF(G286="","",G286-$D$12)</f>
        <v/>
      </c>
    </row>
    <row r="287">
      <c r="B287" s="34" t="inlineStr">
        <is>
          <t>2022-10-12</t>
        </is>
      </c>
      <c r="C287" s="35" t="n">
        <v>406364.7315410327</v>
      </c>
      <c r="D287" s="36">
        <f>IF(C286&gt;0,C287/C286-1,"")</f>
        <v/>
      </c>
      <c r="E287" s="36">
        <f>IF(D287="","",D287-$C$12)</f>
        <v/>
      </c>
      <c r="F287" s="35" t="n">
        <v>375208.7123927588</v>
      </c>
      <c r="G287" s="36">
        <f>IF(F286&gt;0,F287/F286-1,"")</f>
        <v/>
      </c>
      <c r="H287" s="36">
        <f>IF(G287="","",G287-$D$12)</f>
        <v/>
      </c>
    </row>
    <row r="288">
      <c r="B288" s="34" t="inlineStr">
        <is>
          <t>2022-10-13</t>
        </is>
      </c>
      <c r="C288" s="35" t="n">
        <v>407871.1837860946</v>
      </c>
      <c r="D288" s="36">
        <f>IF(C287&gt;0,C288/C287-1,"")</f>
        <v/>
      </c>
      <c r="E288" s="36">
        <f>IF(D288="","",D288-$C$12)</f>
        <v/>
      </c>
      <c r="F288" s="35" t="n">
        <v>376695.3536647325</v>
      </c>
      <c r="G288" s="36">
        <f>IF(F287&gt;0,F288/F287-1,"")</f>
        <v/>
      </c>
      <c r="H288" s="36">
        <f>IF(G288="","",G288-$D$12)</f>
        <v/>
      </c>
    </row>
    <row r="289">
      <c r="B289" s="34" t="inlineStr">
        <is>
          <t>2022-10-14</t>
        </is>
      </c>
      <c r="C289" s="35" t="n">
        <v>408383.656077604</v>
      </c>
      <c r="D289" s="36">
        <f>IF(C288&gt;0,C289/C288-1,"")</f>
        <v/>
      </c>
      <c r="E289" s="36">
        <f>IF(D289="","",D289-$C$12)</f>
        <v/>
      </c>
      <c r="F289" s="35" t="n">
        <v>377380.7615869616</v>
      </c>
      <c r="G289" s="36">
        <f>IF(F288&gt;0,F289/F288-1,"")</f>
        <v/>
      </c>
      <c r="H289" s="36">
        <f>IF(G289="","",G289-$D$12)</f>
        <v/>
      </c>
    </row>
    <row r="290">
      <c r="B290" s="34" t="inlineStr">
        <is>
          <t>2022-10-17</t>
        </is>
      </c>
      <c r="C290" s="35" t="n">
        <v>411580.0007127447</v>
      </c>
      <c r="D290" s="36">
        <f>IF(C289&gt;0,C290/C289-1,"")</f>
        <v/>
      </c>
      <c r="E290" s="36">
        <f>IF(D290="","",D290-$C$12)</f>
        <v/>
      </c>
      <c r="F290" s="35" t="n">
        <v>379920.9621757741</v>
      </c>
      <c r="G290" s="36">
        <f>IF(F289&gt;0,F290/F289-1,"")</f>
        <v/>
      </c>
      <c r="H290" s="36">
        <f>IF(G290="","",G290-$D$12)</f>
        <v/>
      </c>
    </row>
    <row r="291">
      <c r="B291" s="34" t="inlineStr">
        <is>
          <t>2022-10-18</t>
        </is>
      </c>
      <c r="C291" s="35" t="n">
        <v>413155.8009475204</v>
      </c>
      <c r="D291" s="36">
        <f>IF(C290&gt;0,C291/C290-1,"")</f>
        <v/>
      </c>
      <c r="E291" s="36">
        <f>IF(D291="","",D291-$C$12)</f>
        <v/>
      </c>
      <c r="F291" s="35" t="n">
        <v>381445.544705914</v>
      </c>
      <c r="G291" s="36">
        <f>IF(F290&gt;0,F291/F290-1,"")</f>
        <v/>
      </c>
      <c r="H291" s="36">
        <f>IF(G291="","",G291-$D$12)</f>
        <v/>
      </c>
    </row>
    <row r="292">
      <c r="B292" s="34" t="inlineStr">
        <is>
          <t>2022-10-19</t>
        </is>
      </c>
      <c r="C292" s="35" t="n">
        <v>413002.0808133297</v>
      </c>
      <c r="D292" s="36">
        <f>IF(C291&gt;0,C292/C291-1,"")</f>
        <v/>
      </c>
      <c r="E292" s="36">
        <f>IF(D292="","",D292-$C$12)</f>
        <v/>
      </c>
      <c r="F292" s="35" t="n">
        <v>380983.9970947325</v>
      </c>
      <c r="G292" s="36">
        <f>IF(F291&gt;0,F292/F291-1,"")</f>
        <v/>
      </c>
      <c r="H292" s="36">
        <f>IF(G292="","",G292-$D$12)</f>
        <v/>
      </c>
    </row>
    <row r="293">
      <c r="B293" s="34" t="inlineStr">
        <is>
          <t>2022-10-20</t>
        </is>
      </c>
      <c r="C293" s="35" t="n">
        <v>413119.3268797086</v>
      </c>
      <c r="D293" s="36">
        <f>IF(C292&gt;0,C293/C292-1,"")</f>
        <v/>
      </c>
      <c r="E293" s="36">
        <f>IF(D293="","",D293-$C$12)</f>
        <v/>
      </c>
      <c r="F293" s="35" t="n">
        <v>381003.6482966061</v>
      </c>
      <c r="G293" s="36">
        <f>IF(F292&gt;0,F293/F292-1,"")</f>
        <v/>
      </c>
      <c r="H293" s="36">
        <f>IF(G293="","",G293-$D$12)</f>
        <v/>
      </c>
    </row>
    <row r="294">
      <c r="B294" s="34" t="inlineStr">
        <is>
          <t>2022-10-21</t>
        </is>
      </c>
      <c r="C294" s="35" t="n">
        <v>412240.937443234</v>
      </c>
      <c r="D294" s="36">
        <f>IF(C293&gt;0,C294/C293-1,"")</f>
        <v/>
      </c>
      <c r="E294" s="36">
        <f>IF(D294="","",D294-$C$12)</f>
        <v/>
      </c>
      <c r="F294" s="35" t="n">
        <v>380695.1993544136</v>
      </c>
      <c r="G294" s="36">
        <f>IF(F293&gt;0,F294/F293-1,"")</f>
        <v/>
      </c>
      <c r="H294" s="36">
        <f>IF(G294="","",G294-$D$12)</f>
        <v/>
      </c>
    </row>
    <row r="295">
      <c r="B295" s="34" t="inlineStr">
        <is>
          <t>2022-10-24</t>
        </is>
      </c>
      <c r="C295" s="35" t="n">
        <v>415567.6222640848</v>
      </c>
      <c r="D295" s="36">
        <f>IF(C294&gt;0,C295/C294-1,"")</f>
        <v/>
      </c>
      <c r="E295" s="36">
        <f>IF(D295="","",D295-$C$12)</f>
        <v/>
      </c>
      <c r="F295" s="35" t="n">
        <v>383592.8529476541</v>
      </c>
      <c r="G295" s="36">
        <f>IF(F294&gt;0,F295/F294-1,"")</f>
        <v/>
      </c>
      <c r="H295" s="36">
        <f>IF(G295="","",G295-$D$12)</f>
        <v/>
      </c>
    </row>
    <row r="296">
      <c r="B296" s="34" t="inlineStr">
        <is>
          <t>2022-10-25</t>
        </is>
      </c>
      <c r="C296" s="35" t="n">
        <v>419093.2522108409</v>
      </c>
      <c r="D296" s="36">
        <f>IF(C295&gt;0,C296/C295-1,"")</f>
        <v/>
      </c>
      <c r="E296" s="36">
        <f>IF(D296="","",D296-$C$12)</f>
        <v/>
      </c>
      <c r="F296" s="35" t="n">
        <v>386630.1873348411</v>
      </c>
      <c r="G296" s="36">
        <f>IF(F295&gt;0,F296/F295-1,"")</f>
        <v/>
      </c>
      <c r="H296" s="36">
        <f>IF(G296="","",G296-$D$12)</f>
        <v/>
      </c>
    </row>
    <row r="297">
      <c r="B297" s="34" t="inlineStr">
        <is>
          <t>2022-10-26</t>
        </is>
      </c>
      <c r="C297" s="35" t="n">
        <v>419282.7159271816</v>
      </c>
      <c r="D297" s="36">
        <f>IF(C296&gt;0,C297/C296-1,"")</f>
        <v/>
      </c>
      <c r="E297" s="36">
        <f>IF(D297="","",D297-$C$12)</f>
        <v/>
      </c>
      <c r="F297" s="35" t="n">
        <v>387130.5043000399</v>
      </c>
      <c r="G297" s="36">
        <f>IF(F296&gt;0,F297/F296-1,"")</f>
        <v/>
      </c>
      <c r="H297" s="36">
        <f>IF(G297="","",G297-$D$12)</f>
        <v/>
      </c>
    </row>
    <row r="298">
      <c r="B298" s="34" t="inlineStr">
        <is>
          <t>2022-10-27</t>
        </is>
      </c>
      <c r="C298" s="35" t="n">
        <v>419093.6525981384</v>
      </c>
      <c r="D298" s="36">
        <f>IF(C297&gt;0,C298/C297-1,"")</f>
        <v/>
      </c>
      <c r="E298" s="36">
        <f>IF(D298="","",D298-$C$12)</f>
        <v/>
      </c>
      <c r="F298" s="35" t="n">
        <v>386501.6381103277</v>
      </c>
      <c r="G298" s="36">
        <f>IF(F297&gt;0,F298/F297-1,"")</f>
        <v/>
      </c>
      <c r="H298" s="36">
        <f>IF(G298="","",G298-$D$12)</f>
        <v/>
      </c>
    </row>
    <row r="299">
      <c r="B299" s="34" t="inlineStr">
        <is>
          <t>2022-10-28</t>
        </is>
      </c>
      <c r="C299" s="35" t="n">
        <v>421130.1268744848</v>
      </c>
      <c r="D299" s="36">
        <f>IF(C298&gt;0,C299/C298-1,"")</f>
        <v/>
      </c>
      <c r="E299" s="36">
        <f>IF(D299="","",D299-$C$12)</f>
        <v/>
      </c>
      <c r="F299" s="35" t="n">
        <v>387899.9306489903</v>
      </c>
      <c r="G299" s="36">
        <f>IF(F298&gt;0,F299/F298-1,"")</f>
        <v/>
      </c>
      <c r="H299" s="36">
        <f>IF(G299="","",G299-$D$12)</f>
        <v/>
      </c>
    </row>
    <row r="300">
      <c r="B300" s="34" t="inlineStr">
        <is>
          <t>2022-10-31</t>
        </is>
      </c>
      <c r="C300" s="35" t="n">
        <v>422827.6481888497</v>
      </c>
      <c r="D300" s="36">
        <f>IF(C299&gt;0,C300/C299-1,"")</f>
        <v/>
      </c>
      <c r="E300" s="36">
        <f>IF(D300="","",D300-$C$12)</f>
        <v/>
      </c>
      <c r="F300" s="35" t="n">
        <v>389446.701659393</v>
      </c>
      <c r="G300" s="36">
        <f>IF(F299&gt;0,F300/F299-1,"")</f>
        <v/>
      </c>
      <c r="H300" s="36">
        <f>IF(G300="","",G300-$D$12)</f>
        <v/>
      </c>
    </row>
    <row r="301">
      <c r="B301" s="34" t="inlineStr">
        <is>
          <t>2022-11-01</t>
        </is>
      </c>
      <c r="C301" s="35" t="n">
        <v>421820.5447364015</v>
      </c>
      <c r="D301" s="36">
        <f>IF(C300&gt;0,C301/C300-1,"")</f>
        <v/>
      </c>
      <c r="E301" s="36">
        <f>IF(D301="","",D301-$C$12)</f>
        <v/>
      </c>
      <c r="F301" s="35" t="n">
        <v>388827.4558663391</v>
      </c>
      <c r="G301" s="36">
        <f>IF(F300&gt;0,F301/F300-1,"")</f>
        <v/>
      </c>
      <c r="H301" s="36">
        <f>IF(G301="","",G301-$D$12)</f>
        <v/>
      </c>
    </row>
    <row r="302">
      <c r="B302" s="34" t="inlineStr">
        <is>
          <t>2022-11-02</t>
        </is>
      </c>
      <c r="C302" s="35" t="n">
        <v>423099.4599407367</v>
      </c>
      <c r="D302" s="36">
        <f>IF(C301&gt;0,C302/C301-1,"")</f>
        <v/>
      </c>
      <c r="E302" s="36">
        <f>IF(D302="","",D302-$C$12)</f>
        <v/>
      </c>
      <c r="F302" s="35" t="n">
        <v>389352.3811792728</v>
      </c>
      <c r="G302" s="36">
        <f>IF(F301&gt;0,F302/F301-1,"")</f>
        <v/>
      </c>
      <c r="H302" s="36">
        <f>IF(G302="","",G302-$D$12)</f>
        <v/>
      </c>
    </row>
    <row r="303">
      <c r="B303" s="34" t="inlineStr">
        <is>
          <t>2022-11-03</t>
        </is>
      </c>
      <c r="C303" s="35" t="n">
        <v>422393.2755478173</v>
      </c>
      <c r="D303" s="36">
        <f>IF(C302&gt;0,C303/C302-1,"")</f>
        <v/>
      </c>
      <c r="E303" s="36">
        <f>IF(D303="","",D303-$C$12)</f>
        <v/>
      </c>
      <c r="F303" s="35" t="n">
        <v>388449.4559635216</v>
      </c>
      <c r="G303" s="36">
        <f>IF(F302&gt;0,F303/F302-1,"")</f>
        <v/>
      </c>
      <c r="H303" s="36">
        <f>IF(G303="","",G303-$D$12)</f>
        <v/>
      </c>
    </row>
    <row r="304">
      <c r="B304" s="34" t="inlineStr">
        <is>
          <t>2022-11-04</t>
        </is>
      </c>
      <c r="C304" s="35" t="n">
        <v>409047.5196133147</v>
      </c>
      <c r="D304" s="36">
        <f>IF(C303&gt;0,C304/C303-1,"")</f>
        <v/>
      </c>
      <c r="E304" s="36">
        <f>IF(D304="","",D304-$C$12)</f>
        <v/>
      </c>
      <c r="F304" s="35" t="n">
        <v>382665.8121791897</v>
      </c>
      <c r="G304" s="36">
        <f>IF(F303&gt;0,F304/F303-1,"")</f>
        <v/>
      </c>
      <c r="H304" s="36">
        <f>IF(G304="","",G304-$D$12)</f>
        <v/>
      </c>
    </row>
    <row r="305">
      <c r="B305" s="34" t="inlineStr">
        <is>
          <t>2022-11-07</t>
        </is>
      </c>
      <c r="C305" s="35" t="n">
        <v>424211.3397672685</v>
      </c>
      <c r="D305" s="36">
        <f>IF(C304&gt;0,C305/C304-1,"")</f>
        <v/>
      </c>
      <c r="E305" s="36">
        <f>IF(D305="","",D305-$C$12)</f>
        <v/>
      </c>
      <c r="F305" s="35" t="n">
        <v>390261.7406694909</v>
      </c>
      <c r="G305" s="36">
        <f>IF(F304&gt;0,F305/F304-1,"")</f>
        <v/>
      </c>
      <c r="H305" s="36">
        <f>IF(G305="","",G305-$D$12)</f>
        <v/>
      </c>
    </row>
    <row r="306">
      <c r="B306" s="34" t="inlineStr">
        <is>
          <t>2022-11-08</t>
        </is>
      </c>
      <c r="C306" s="35" t="n">
        <v>425476.3409426129</v>
      </c>
      <c r="D306" s="36">
        <f>IF(C305&gt;0,C306/C305-1,"")</f>
        <v/>
      </c>
      <c r="E306" s="36">
        <f>IF(D306="","",D306-$C$12)</f>
        <v/>
      </c>
      <c r="F306" s="35" t="n">
        <v>391495.8462754147</v>
      </c>
      <c r="G306" s="36">
        <f>IF(F305&gt;0,F306/F305-1,"")</f>
        <v/>
      </c>
      <c r="H306" s="36">
        <f>IF(G306="","",G306-$D$12)</f>
        <v/>
      </c>
    </row>
    <row r="307">
      <c r="B307" s="34" t="inlineStr">
        <is>
          <t>2022-11-09</t>
        </is>
      </c>
      <c r="C307" s="35" t="n">
        <v>425776.4051328915</v>
      </c>
      <c r="D307" s="36">
        <f>IF(C306&gt;0,C307/C306-1,"")</f>
        <v/>
      </c>
      <c r="E307" s="36">
        <f>IF(D307="","",D307-$C$12)</f>
        <v/>
      </c>
      <c r="F307" s="35" t="n">
        <v>391738.9453595527</v>
      </c>
      <c r="G307" s="36">
        <f>IF(F306&gt;0,F307/F306-1,"")</f>
        <v/>
      </c>
      <c r="H307" s="36">
        <f>IF(G307="","",G307-$D$12)</f>
        <v/>
      </c>
    </row>
    <row r="308">
      <c r="B308" s="34" t="inlineStr">
        <is>
          <t>2022-11-10</t>
        </is>
      </c>
      <c r="C308" s="35" t="n">
        <v>427898.5452467212</v>
      </c>
      <c r="D308" s="36">
        <f>IF(C307&gt;0,C308/C307-1,"")</f>
        <v/>
      </c>
      <c r="E308" s="36">
        <f>IF(D308="","",D308-$C$12)</f>
        <v/>
      </c>
      <c r="F308" s="35" t="n">
        <v>393687.4004749779</v>
      </c>
      <c r="G308" s="36">
        <f>IF(F307&gt;0,F308/F307-1,"")</f>
        <v/>
      </c>
      <c r="H308" s="36">
        <f>IF(G308="","",G308-$D$12)</f>
        <v/>
      </c>
    </row>
    <row r="309">
      <c r="B309" s="34" t="inlineStr">
        <is>
          <t>2022-11-11</t>
        </is>
      </c>
      <c r="C309" s="35" t="n">
        <v>425707.5660862584</v>
      </c>
      <c r="D309" s="36">
        <f>IF(C308&gt;0,C309/C308-1,"")</f>
        <v/>
      </c>
      <c r="E309" s="36">
        <f>IF(D309="","",D309-$C$12)</f>
        <v/>
      </c>
      <c r="F309" s="35" t="n">
        <v>392106.4720113532</v>
      </c>
      <c r="G309" s="36">
        <f>IF(F308&gt;0,F309/F308-1,"")</f>
        <v/>
      </c>
      <c r="H309" s="36">
        <f>IF(G309="","",G309-$D$12)</f>
        <v/>
      </c>
    </row>
    <row r="310">
      <c r="B310" s="34" t="inlineStr">
        <is>
          <t>2022-11-14</t>
        </is>
      </c>
      <c r="C310" s="35" t="n">
        <v>424376.1701910892</v>
      </c>
      <c r="D310" s="36">
        <f>IF(C309&gt;0,C310/C309-1,"")</f>
        <v/>
      </c>
      <c r="E310" s="36">
        <f>IF(D310="","",D310-$C$12)</f>
        <v/>
      </c>
      <c r="F310" s="35" t="n">
        <v>390071.8329943209</v>
      </c>
      <c r="G310" s="36">
        <f>IF(F309&gt;0,F310/F309-1,"")</f>
        <v/>
      </c>
      <c r="H310" s="36">
        <f>IF(G310="","",G310-$D$12)</f>
        <v/>
      </c>
    </row>
    <row r="311">
      <c r="B311" s="34" t="inlineStr">
        <is>
          <t>2022-11-15</t>
        </is>
      </c>
      <c r="C311" s="35" t="n">
        <v>424595.0677330854</v>
      </c>
      <c r="D311" s="36">
        <f>IF(C310&gt;0,C311/C310-1,"")</f>
        <v/>
      </c>
      <c r="E311" s="36">
        <f>IF(D311="","",D311-$C$12)</f>
        <v/>
      </c>
      <c r="F311" s="35" t="n">
        <v>390483.333331955</v>
      </c>
      <c r="G311" s="36">
        <f>IF(F310&gt;0,F311/F310-1,"")</f>
        <v/>
      </c>
      <c r="H311" s="36">
        <f>IF(G311="","",G311-$D$12)</f>
        <v/>
      </c>
    </row>
    <row r="312">
      <c r="B312" s="34" t="inlineStr">
        <is>
          <t>2022-11-16</t>
        </is>
      </c>
      <c r="C312" s="35" t="n">
        <v>423202.9405408464</v>
      </c>
      <c r="D312" s="36">
        <f>IF(C311&gt;0,C312/C311-1,"")</f>
        <v/>
      </c>
      <c r="E312" s="36">
        <f>IF(D312="","",D312-$C$12)</f>
        <v/>
      </c>
      <c r="F312" s="35" t="n">
        <v>388912.7204473164</v>
      </c>
      <c r="G312" s="36">
        <f>IF(F311&gt;0,F312/F311-1,"")</f>
        <v/>
      </c>
      <c r="H312" s="36">
        <f>IF(G312="","",G312-$D$12)</f>
        <v/>
      </c>
    </row>
    <row r="313">
      <c r="B313" s="34" t="inlineStr">
        <is>
          <t>2022-11-17</t>
        </is>
      </c>
      <c r="C313" s="35" t="n">
        <v>423173.3400100237</v>
      </c>
      <c r="D313" s="36">
        <f>IF(C312&gt;0,C313/C312-1,"")</f>
        <v/>
      </c>
      <c r="E313" s="36">
        <f>IF(D313="","",D313-$C$12)</f>
        <v/>
      </c>
      <c r="F313" s="35" t="n">
        <v>388645.4135784865</v>
      </c>
      <c r="G313" s="36">
        <f>IF(F312&gt;0,F313/F312-1,"")</f>
        <v/>
      </c>
      <c r="H313" s="36">
        <f>IF(G313="","",G313-$D$12)</f>
        <v/>
      </c>
    </row>
    <row r="314">
      <c r="B314" s="34" t="inlineStr">
        <is>
          <t>2022-11-18</t>
        </is>
      </c>
      <c r="C314" s="35" t="n">
        <v>424036.080282175</v>
      </c>
      <c r="D314" s="36">
        <f>IF(C313&gt;0,C314/C313-1,"")</f>
        <v/>
      </c>
      <c r="E314" s="36">
        <f>IF(D314="","",D314-$C$12)</f>
        <v/>
      </c>
      <c r="F314" s="35" t="n">
        <v>389701.0097034903</v>
      </c>
      <c r="G314" s="36">
        <f>IF(F313&gt;0,F314/F313-1,"")</f>
        <v/>
      </c>
      <c r="H314" s="36">
        <f>IF(G314="","",G314-$D$12)</f>
        <v/>
      </c>
    </row>
    <row r="315">
      <c r="B315" s="34" t="inlineStr">
        <is>
          <t>2022-11-21</t>
        </is>
      </c>
      <c r="C315" s="35" t="n">
        <v>424798.0755515771</v>
      </c>
      <c r="D315" s="36">
        <f>IF(C314&gt;0,C315/C314-1,"")</f>
        <v/>
      </c>
      <c r="E315" s="36">
        <f>IF(D315="","",D315-$C$12)</f>
        <v/>
      </c>
      <c r="F315" s="35" t="n">
        <v>390471.0639258831</v>
      </c>
      <c r="G315" s="36">
        <f>IF(F314&gt;0,F315/F314-1,"")</f>
        <v/>
      </c>
      <c r="H315" s="36">
        <f>IF(G315="","",G315-$D$12)</f>
        <v/>
      </c>
    </row>
    <row r="316">
      <c r="B316" s="34" t="inlineStr">
        <is>
          <t>2022-11-22</t>
        </is>
      </c>
      <c r="C316" s="35" t="n">
        <v>425589.7988203815</v>
      </c>
      <c r="D316" s="36">
        <f>IF(C315&gt;0,C316/C315-1,"")</f>
        <v/>
      </c>
      <c r="E316" s="36">
        <f>IF(D316="","",D316-$C$12)</f>
        <v/>
      </c>
      <c r="F316" s="35" t="n">
        <v>390973.7288837541</v>
      </c>
      <c r="G316" s="36">
        <f>IF(F315&gt;0,F316/F315-1,"")</f>
        <v/>
      </c>
      <c r="H316" s="36">
        <f>IF(G316="","",G316-$D$12)</f>
        <v/>
      </c>
    </row>
    <row r="317">
      <c r="B317" s="34" t="inlineStr">
        <is>
          <t>2022-11-23</t>
        </is>
      </c>
      <c r="C317" s="35" t="n">
        <v>426358.1037437482</v>
      </c>
      <c r="D317" s="36">
        <f>IF(C316&gt;0,C317/C316-1,"")</f>
        <v/>
      </c>
      <c r="E317" s="36">
        <f>IF(D317="","",D317-$C$12)</f>
        <v/>
      </c>
      <c r="F317" s="35" t="n">
        <v>391421.8322680303</v>
      </c>
      <c r="G317" s="36">
        <f>IF(F316&gt;0,F317/F316-1,"")</f>
        <v/>
      </c>
      <c r="H317" s="36">
        <f>IF(G317="","",G317-$D$12)</f>
        <v/>
      </c>
    </row>
    <row r="318">
      <c r="B318" s="34" t="inlineStr">
        <is>
          <t>2022-11-24</t>
        </is>
      </c>
      <c r="C318" s="35" t="n">
        <v>427689.0467064821</v>
      </c>
      <c r="D318" s="36">
        <f>IF(C317&gt;0,C318/C317-1,"")</f>
        <v/>
      </c>
      <c r="E318" s="36">
        <f>IF(D318="","",D318-$C$12)</f>
        <v/>
      </c>
      <c r="F318" s="35" t="n">
        <v>392520.0491685781</v>
      </c>
      <c r="G318" s="36">
        <f>IF(F317&gt;0,F318/F317-1,"")</f>
        <v/>
      </c>
      <c r="H318" s="36">
        <f>IF(G318="","",G318-$D$12)</f>
        <v/>
      </c>
    </row>
    <row r="319">
      <c r="B319" s="34" t="inlineStr">
        <is>
          <t>2022-11-25</t>
        </is>
      </c>
      <c r="C319" s="35" t="n">
        <v>428214.9683733244</v>
      </c>
      <c r="D319" s="36">
        <f>IF(C318&gt;0,C319/C318-1,"")</f>
        <v/>
      </c>
      <c r="E319" s="36">
        <f>IF(D319="","",D319-$C$12)</f>
        <v/>
      </c>
      <c r="F319" s="35" t="n">
        <v>392916.8479907199</v>
      </c>
      <c r="G319" s="36">
        <f>IF(F318&gt;0,F319/F318-1,"")</f>
        <v/>
      </c>
      <c r="H319" s="36">
        <f>IF(G319="","",G319-$D$12)</f>
        <v/>
      </c>
    </row>
    <row r="320">
      <c r="B320" s="34" t="inlineStr">
        <is>
          <t>2022-11-28</t>
        </is>
      </c>
      <c r="C320" s="35" t="n">
        <v>427261.2879240242</v>
      </c>
      <c r="D320" s="36">
        <f>IF(C319&gt;0,C320/C319-1,"")</f>
        <v/>
      </c>
      <c r="E320" s="36">
        <f>IF(D320="","",D320-$C$12)</f>
        <v/>
      </c>
      <c r="F320" s="35" t="n">
        <v>391974.8479401527</v>
      </c>
      <c r="G320" s="36">
        <f>IF(F319&gt;0,F320/F319-1,"")</f>
        <v/>
      </c>
      <c r="H320" s="36">
        <f>IF(G320="","",G320-$D$12)</f>
        <v/>
      </c>
    </row>
    <row r="321">
      <c r="B321" s="34" t="inlineStr">
        <is>
          <t>2022-11-29</t>
        </is>
      </c>
      <c r="C321" s="35" t="n">
        <v>426994.9795046781</v>
      </c>
      <c r="D321" s="36">
        <f>IF(C320&gt;0,C321/C320-1,"")</f>
        <v/>
      </c>
      <c r="E321" s="36">
        <f>IF(D321="","",D321-$C$12)</f>
        <v/>
      </c>
      <c r="F321" s="35" t="n">
        <v>391625.7430185002</v>
      </c>
      <c r="G321" s="36">
        <f>IF(F320&gt;0,F321/F320-1,"")</f>
        <v/>
      </c>
      <c r="H321" s="36">
        <f>IF(G321="","",G321-$D$12)</f>
        <v/>
      </c>
    </row>
    <row r="322">
      <c r="B322" s="34" t="inlineStr">
        <is>
          <t>2022-11-30</t>
        </is>
      </c>
      <c r="C322" s="35" t="n">
        <v>429588.4362041398</v>
      </c>
      <c r="D322" s="36">
        <f>IF(C321&gt;0,C322/C321-1,"")</f>
        <v/>
      </c>
      <c r="E322" s="36">
        <f>IF(D322="","",D322-$C$12)</f>
        <v/>
      </c>
      <c r="F322" s="35" t="n">
        <v>393446.8601992558</v>
      </c>
      <c r="G322" s="36">
        <f>IF(F321&gt;0,F322/F321-1,"")</f>
        <v/>
      </c>
      <c r="H322" s="36">
        <f>IF(G322="","",G322-$D$12)</f>
        <v/>
      </c>
    </row>
    <row r="323">
      <c r="B323" s="34" t="inlineStr">
        <is>
          <t>2022-12-01</t>
        </is>
      </c>
      <c r="C323" s="35" t="n">
        <v>430181.279721463</v>
      </c>
      <c r="D323" s="36">
        <f>IF(C322&gt;0,C323/C322-1,"")</f>
        <v/>
      </c>
      <c r="E323" s="36">
        <f>IF(D323="","",D323-$C$12)</f>
        <v/>
      </c>
      <c r="F323" s="35" t="n">
        <v>394153.9449979127</v>
      </c>
      <c r="G323" s="36">
        <f>IF(F322&gt;0,F323/F322-1,"")</f>
        <v/>
      </c>
      <c r="H323" s="36">
        <f>IF(G323="","",G323-$D$12)</f>
        <v/>
      </c>
    </row>
    <row r="324">
      <c r="B324" s="34" t="inlineStr">
        <is>
          <t>2022-12-02</t>
        </is>
      </c>
      <c r="C324" s="35" t="n">
        <v>429351.0314441983</v>
      </c>
      <c r="D324" s="36">
        <f>IF(C323&gt;0,C324/C323-1,"")</f>
        <v/>
      </c>
      <c r="E324" s="36">
        <f>IF(D324="","",D324-$C$12)</f>
        <v/>
      </c>
      <c r="F324" s="35" t="n">
        <v>393376.4173555767</v>
      </c>
      <c r="G324" s="36">
        <f>IF(F323&gt;0,F324/F323-1,"")</f>
        <v/>
      </c>
      <c r="H324" s="36">
        <f>IF(G324="","",G324-$D$12)</f>
        <v/>
      </c>
    </row>
    <row r="325">
      <c r="B325" s="34" t="inlineStr">
        <is>
          <t>2022-12-05</t>
        </is>
      </c>
      <c r="C325" s="35" t="n">
        <v>428947.4904221601</v>
      </c>
      <c r="D325" s="36">
        <f>IF(C324&gt;0,C325/C324-1,"")</f>
        <v/>
      </c>
      <c r="E325" s="36">
        <f>IF(D325="","",D325-$C$12)</f>
        <v/>
      </c>
      <c r="F325" s="35" t="n">
        <v>392821.3537426872</v>
      </c>
      <c r="G325" s="36">
        <f>IF(F324&gt;0,F325/F324-1,"")</f>
        <v/>
      </c>
      <c r="H325" s="36">
        <f>IF(G325="","",G325-$D$12)</f>
        <v/>
      </c>
    </row>
    <row r="326">
      <c r="B326" s="34" t="inlineStr">
        <is>
          <t>2022-12-06</t>
        </is>
      </c>
      <c r="C326" s="35" t="n">
        <v>426728.8317529763</v>
      </c>
      <c r="D326" s="36">
        <f>IF(C325&gt;0,C326/C325-1,"")</f>
        <v/>
      </c>
      <c r="E326" s="36">
        <f>IF(D326="","",D326-$C$12)</f>
        <v/>
      </c>
      <c r="F326" s="35" t="n">
        <v>390875.7896072062</v>
      </c>
      <c r="G326" s="36">
        <f>IF(F325&gt;0,F326/F325-1,"")</f>
        <v/>
      </c>
      <c r="H326" s="36">
        <f>IF(G326="","",G326-$D$12)</f>
        <v/>
      </c>
    </row>
    <row r="327">
      <c r="B327" s="34" t="inlineStr">
        <is>
          <t>2022-12-07</t>
        </is>
      </c>
      <c r="C327" s="35" t="n">
        <v>424123.6897270252</v>
      </c>
      <c r="D327" s="36">
        <f>IF(C326&gt;0,C327/C326-1,"")</f>
        <v/>
      </c>
      <c r="E327" s="36">
        <f>IF(D327="","",D327-$C$12)</f>
        <v/>
      </c>
      <c r="F327" s="35" t="n">
        <v>388892.0467567748</v>
      </c>
      <c r="G327" s="36">
        <f>IF(F326&gt;0,F327/F326-1,"")</f>
        <v/>
      </c>
      <c r="H327" s="36">
        <f>IF(G327="","",G327-$D$12)</f>
        <v/>
      </c>
    </row>
    <row r="328">
      <c r="B328" s="34" t="inlineStr">
        <is>
          <t>2022-12-08</t>
        </is>
      </c>
      <c r="C328" s="35" t="n">
        <v>424905.0176649097</v>
      </c>
      <c r="D328" s="36">
        <f>IF(C327&gt;0,C328/C327-1,"")</f>
        <v/>
      </c>
      <c r="E328" s="36">
        <f>IF(D328="","",D328-$C$12)</f>
        <v/>
      </c>
      <c r="F328" s="35" t="n">
        <v>389182.9712684567</v>
      </c>
      <c r="G328" s="36">
        <f>IF(F327&gt;0,F328/F327-1,"")</f>
        <v/>
      </c>
      <c r="H328" s="36">
        <f>IF(G328="","",G328-$D$12)</f>
        <v/>
      </c>
    </row>
    <row r="329">
      <c r="B329" s="34" t="inlineStr">
        <is>
          <t>2022-12-09</t>
        </is>
      </c>
      <c r="C329" s="35" t="n">
        <v>425865.3763385918</v>
      </c>
      <c r="D329" s="36">
        <f>IF(C328&gt;0,C329/C328-1,"")</f>
        <v/>
      </c>
      <c r="E329" s="36">
        <f>IF(D329="","",D329-$C$12)</f>
        <v/>
      </c>
      <c r="F329" s="35" t="n">
        <v>389973.5885467031</v>
      </c>
      <c r="G329" s="36">
        <f>IF(F328&gt;0,F329/F328-1,"")</f>
        <v/>
      </c>
      <c r="H329" s="36">
        <f>IF(G329="","",G329-$D$12)</f>
        <v/>
      </c>
    </row>
    <row r="330">
      <c r="B330" s="34" t="inlineStr">
        <is>
          <t>2022-12-12</t>
        </is>
      </c>
      <c r="C330" s="35" t="n">
        <v>425371.2553775947</v>
      </c>
      <c r="D330" s="36">
        <f>IF(C329&gt;0,C330/C329-1,"")</f>
        <v/>
      </c>
      <c r="E330" s="36">
        <f>IF(D330="","",D330-$C$12)</f>
        <v/>
      </c>
      <c r="F330" s="35" t="n">
        <v>389651.96294553</v>
      </c>
      <c r="G330" s="36">
        <f>IF(F329&gt;0,F330/F329-1,"")</f>
        <v/>
      </c>
      <c r="H330" s="36">
        <f>IF(G330="","",G330-$D$12)</f>
        <v/>
      </c>
    </row>
    <row r="331">
      <c r="B331" s="34" t="inlineStr">
        <is>
          <t>2022-12-13</t>
        </is>
      </c>
      <c r="C331" s="35" t="n">
        <v>427235.4511116167</v>
      </c>
      <c r="D331" s="36">
        <f>IF(C330&gt;0,C331/C330-1,"")</f>
        <v/>
      </c>
      <c r="E331" s="36">
        <f>IF(D331="","",D331-$C$12)</f>
        <v/>
      </c>
      <c r="F331" s="35" t="n">
        <v>391282.6377272736</v>
      </c>
      <c r="G331" s="36">
        <f>IF(F330&gt;0,F331/F330-1,"")</f>
        <v/>
      </c>
      <c r="H331" s="36">
        <f>IF(G331="","",G331-$D$12)</f>
        <v/>
      </c>
    </row>
    <row r="332">
      <c r="B332" s="34" t="inlineStr">
        <is>
          <t>2022-12-14</t>
        </is>
      </c>
      <c r="C332" s="35" t="n">
        <v>427921.2257723361</v>
      </c>
      <c r="D332" s="36">
        <f>IF(C331&gt;0,C332/C331-1,"")</f>
        <v/>
      </c>
      <c r="E332" s="36">
        <f>IF(D332="","",D332-$C$12)</f>
        <v/>
      </c>
      <c r="F332" s="35" t="n">
        <v>391618.8871555387</v>
      </c>
      <c r="G332" s="36">
        <f>IF(F331&gt;0,F332/F331-1,"")</f>
        <v/>
      </c>
      <c r="H332" s="36">
        <f>IF(G332="","",G332-$D$12)</f>
        <v/>
      </c>
    </row>
    <row r="333">
      <c r="B333" s="34" t="inlineStr">
        <is>
          <t>2022-12-15</t>
        </is>
      </c>
      <c r="C333" s="35" t="n">
        <v>423406.7718744509</v>
      </c>
      <c r="D333" s="36">
        <f>IF(C332&gt;0,C333/C332-1,"")</f>
        <v/>
      </c>
      <c r="E333" s="36">
        <f>IF(D333="","",D333-$C$12)</f>
        <v/>
      </c>
      <c r="F333" s="35" t="n">
        <v>387650.4012503544</v>
      </c>
      <c r="G333" s="36">
        <f>IF(F332&gt;0,F333/F332-1,"")</f>
        <v/>
      </c>
      <c r="H333" s="36">
        <f>IF(G333="","",G333-$D$12)</f>
        <v/>
      </c>
    </row>
    <row r="334">
      <c r="B334" s="34" t="inlineStr">
        <is>
          <t>2022-12-16</t>
        </is>
      </c>
      <c r="C334" s="35" t="n">
        <v>421374.8215107424</v>
      </c>
      <c r="D334" s="36">
        <f>IF(C333&gt;0,C334/C333-1,"")</f>
        <v/>
      </c>
      <c r="E334" s="36">
        <f>IF(D334="","",D334-$C$12)</f>
        <v/>
      </c>
      <c r="F334" s="35" t="n">
        <v>386348.1264629583</v>
      </c>
      <c r="G334" s="36">
        <f>IF(F333&gt;0,F334/F333-1,"")</f>
        <v/>
      </c>
      <c r="H334" s="36">
        <f>IF(G334="","",G334-$D$12)</f>
        <v/>
      </c>
    </row>
    <row r="335">
      <c r="B335" s="34" t="inlineStr">
        <is>
          <t>2022-12-19</t>
        </is>
      </c>
      <c r="C335" s="35" t="n">
        <v>420841.5250670549</v>
      </c>
      <c r="D335" s="36">
        <f>IF(C334&gt;0,C335/C334-1,"")</f>
        <v/>
      </c>
      <c r="E335" s="36">
        <f>IF(D335="","",D335-$C$12)</f>
        <v/>
      </c>
      <c r="F335" s="35" t="n">
        <v>386170.1225596278</v>
      </c>
      <c r="G335" s="36">
        <f>IF(F334&gt;0,F335/F334-1,"")</f>
        <v/>
      </c>
      <c r="H335" s="36">
        <f>IF(G335="","",G335-$D$12)</f>
        <v/>
      </c>
    </row>
    <row r="336">
      <c r="B336" s="34" t="inlineStr">
        <is>
          <t>2022-12-20</t>
        </is>
      </c>
      <c r="C336" s="35" t="n">
        <v>419263.1167627958</v>
      </c>
      <c r="D336" s="36">
        <f>IF(C335&gt;0,C336/C335-1,"")</f>
        <v/>
      </c>
      <c r="E336" s="36">
        <f>IF(D336="","",D336-$C$12)</f>
        <v/>
      </c>
      <c r="F336" s="35" t="n">
        <v>384703.7375635455</v>
      </c>
      <c r="G336" s="36">
        <f>IF(F335&gt;0,F336/F335-1,"")</f>
        <v/>
      </c>
      <c r="H336" s="36">
        <f>IF(G336="","",G336-$D$12)</f>
        <v/>
      </c>
    </row>
    <row r="337">
      <c r="B337" s="34" t="inlineStr">
        <is>
          <t>2022-12-21</t>
        </is>
      </c>
      <c r="C337" s="35" t="n">
        <v>422705.4459550148</v>
      </c>
      <c r="D337" s="36">
        <f>IF(C336&gt;0,C337/C336-1,"")</f>
        <v/>
      </c>
      <c r="E337" s="36">
        <f>IF(D337="","",D337-$C$12)</f>
        <v/>
      </c>
      <c r="F337" s="35" t="n">
        <v>388227.1352062345</v>
      </c>
      <c r="G337" s="36">
        <f>IF(F336&gt;0,F337/F336-1,"")</f>
        <v/>
      </c>
      <c r="H337" s="36">
        <f>IF(G337="","",G337-$D$12)</f>
        <v/>
      </c>
    </row>
    <row r="338">
      <c r="B338" s="34" t="inlineStr">
        <is>
          <t>2022-12-22</t>
        </is>
      </c>
      <c r="C338" s="35" t="n">
        <v>421419.3784460804</v>
      </c>
      <c r="D338" s="36">
        <f>IF(C337&gt;0,C338/C337-1,"")</f>
        <v/>
      </c>
      <c r="E338" s="36">
        <f>IF(D338="","",D338-$C$12)</f>
        <v/>
      </c>
      <c r="F338" s="35" t="n">
        <v>386964.2489842366</v>
      </c>
      <c r="G338" s="36">
        <f>IF(F337&gt;0,F338/F337-1,"")</f>
        <v/>
      </c>
      <c r="H338" s="36">
        <f>IF(G338="","",G338-$D$12)</f>
        <v/>
      </c>
    </row>
    <row r="339">
      <c r="B339" s="34" t="inlineStr">
        <is>
          <t>2022-12-23</t>
        </is>
      </c>
      <c r="C339" s="35" t="n">
        <v>422308.4377366539</v>
      </c>
      <c r="D339" s="36">
        <f>IF(C338&gt;0,C339/C338-1,"")</f>
        <v/>
      </c>
      <c r="E339" s="36">
        <f>IF(D339="","",D339-$C$12)</f>
        <v/>
      </c>
      <c r="F339" s="35" t="n">
        <v>387723.7605634911</v>
      </c>
      <c r="G339" s="36">
        <f>IF(F338&gt;0,F339/F338-1,"")</f>
        <v/>
      </c>
      <c r="H339" s="36">
        <f>IF(G339="","",G339-$D$12)</f>
        <v/>
      </c>
    </row>
    <row r="340">
      <c r="B340" s="34" t="inlineStr">
        <is>
          <t>2022-12-27</t>
        </is>
      </c>
      <c r="C340" s="35" t="n">
        <v>422151.6015869808</v>
      </c>
      <c r="D340" s="36">
        <f>IF(C339&gt;0,C340/C339-1,"")</f>
        <v/>
      </c>
      <c r="E340" s="36">
        <f>IF(D340="","",D340-$C$12)</f>
        <v/>
      </c>
      <c r="F340" s="35" t="n">
        <v>387687.4758867471</v>
      </c>
      <c r="G340" s="36">
        <f>IF(F339&gt;0,F340/F339-1,"")</f>
        <v/>
      </c>
      <c r="H340" s="36">
        <f>IF(G340="","",G340-$D$12)</f>
        <v/>
      </c>
    </row>
    <row r="341">
      <c r="B341" s="34" t="inlineStr">
        <is>
          <t>2022-12-28</t>
        </is>
      </c>
      <c r="C341" s="35" t="n">
        <v>420816.1935702764</v>
      </c>
      <c r="D341" s="36">
        <f>IF(C340&gt;0,C341/C340-1,"")</f>
        <v/>
      </c>
      <c r="E341" s="36">
        <f>IF(D341="","",D341-$C$12)</f>
        <v/>
      </c>
      <c r="F341" s="35" t="n">
        <v>386493.4196552711</v>
      </c>
      <c r="G341" s="36">
        <f>IF(F340&gt;0,F341/F340-1,"")</f>
        <v/>
      </c>
      <c r="H341" s="36">
        <f>IF(G341="","",G341-$D$12)</f>
        <v/>
      </c>
    </row>
    <row r="342">
      <c r="B342" s="34" t="inlineStr">
        <is>
          <t>2022-12-29</t>
        </is>
      </c>
      <c r="C342" s="35" t="n">
        <v>422164.5698375406</v>
      </c>
      <c r="D342" s="36">
        <f>IF(C341&gt;0,C342/C341-1,"")</f>
        <v/>
      </c>
      <c r="E342" s="36">
        <f>IF(D342="","",D342-$C$12)</f>
        <v/>
      </c>
      <c r="F342" s="35" t="n">
        <v>387647.7954159962</v>
      </c>
      <c r="G342" s="36">
        <f>IF(F341&gt;0,F342/F341-1,"")</f>
        <v/>
      </c>
      <c r="H342" s="36">
        <f>IF(G342="","",G342-$D$12)</f>
        <v/>
      </c>
    </row>
    <row r="343">
      <c r="B343" s="34" t="inlineStr">
        <is>
          <t>2022-12-30</t>
        </is>
      </c>
      <c r="C343" s="35" t="n">
        <v>420049.3658842557</v>
      </c>
      <c r="D343" s="36">
        <f>IF(C342&gt;0,C343/C342-1,"")</f>
        <v/>
      </c>
      <c r="E343" s="36">
        <f>IF(D343="","",D343-$C$12)</f>
        <v/>
      </c>
      <c r="F343" s="35" t="n">
        <v>385771.8780377532</v>
      </c>
      <c r="G343" s="36">
        <f>IF(F342&gt;0,F343/F342-1,"")</f>
        <v/>
      </c>
      <c r="H343" s="36">
        <f>IF(G343="","",G343-$D$12)</f>
        <v/>
      </c>
    </row>
    <row r="344">
      <c r="B344" s="34" t="inlineStr">
        <is>
          <t>2023-01-02</t>
        </is>
      </c>
      <c r="C344" s="35" t="n">
        <v>420800.7330682777</v>
      </c>
      <c r="D344" s="36">
        <f>IF(C343&gt;0,C344/C343-1,"")</f>
        <v/>
      </c>
      <c r="E344" s="36">
        <f>IF(D344="","",D344-$C$12)</f>
        <v/>
      </c>
      <c r="F344" s="35" t="n">
        <v>386307.8080013421</v>
      </c>
      <c r="G344" s="36">
        <f>IF(F343&gt;0,F344/F343-1,"")</f>
        <v/>
      </c>
      <c r="H344" s="36">
        <f>IF(G344="","",G344-$D$12)</f>
        <v/>
      </c>
    </row>
    <row r="345">
      <c r="B345" s="34" t="inlineStr">
        <is>
          <t>2023-01-03</t>
        </is>
      </c>
      <c r="C345" s="35" t="n">
        <v>424748.9875698658</v>
      </c>
      <c r="D345" s="36">
        <f>IF(C344&gt;0,C345/C344-1,"")</f>
        <v/>
      </c>
      <c r="E345" s="36">
        <f>IF(D345="","",D345-$C$12)</f>
        <v/>
      </c>
      <c r="F345" s="35" t="n">
        <v>389972.6618654481</v>
      </c>
      <c r="G345" s="36">
        <f>IF(F344&gt;0,F345/F344-1,"")</f>
        <v/>
      </c>
      <c r="H345" s="36">
        <f>IF(G345="","",G345-$D$12)</f>
        <v/>
      </c>
    </row>
    <row r="346">
      <c r="B346" s="34" t="inlineStr">
        <is>
          <t>2023-01-04</t>
        </is>
      </c>
      <c r="C346" s="35" t="n">
        <v>426695.8415490915</v>
      </c>
      <c r="D346" s="36">
        <f>IF(C345&gt;0,C346/C345-1,"")</f>
        <v/>
      </c>
      <c r="E346" s="36">
        <f>IF(D346="","",D346-$C$12)</f>
        <v/>
      </c>
      <c r="F346" s="35" t="n">
        <v>391741.8091014326</v>
      </c>
      <c r="G346" s="36">
        <f>IF(F345&gt;0,F346/F345-1,"")</f>
        <v/>
      </c>
      <c r="H346" s="36">
        <f>IF(G346="","",G346-$D$12)</f>
        <v/>
      </c>
    </row>
    <row r="347">
      <c r="B347" s="34" t="inlineStr">
        <is>
          <t>2023-01-05</t>
        </is>
      </c>
      <c r="C347" s="35" t="n">
        <v>425476.9841737798</v>
      </c>
      <c r="D347" s="36">
        <f>IF(C346&gt;0,C347/C346-1,"")</f>
        <v/>
      </c>
      <c r="E347" s="36">
        <f>IF(D347="","",D347-$C$12)</f>
        <v/>
      </c>
      <c r="F347" s="35" t="n">
        <v>390688.3986593607</v>
      </c>
      <c r="G347" s="36">
        <f>IF(F346&gt;0,F347/F346-1,"")</f>
        <v/>
      </c>
      <c r="H347" s="36">
        <f>IF(G347="","",G347-$D$12)</f>
        <v/>
      </c>
    </row>
    <row r="348">
      <c r="B348" s="34" t="inlineStr">
        <is>
          <t>2023-01-06</t>
        </is>
      </c>
      <c r="C348" s="35" t="n">
        <v>427272.9813867059</v>
      </c>
      <c r="D348" s="36">
        <f>IF(C347&gt;0,C348/C347-1,"")</f>
        <v/>
      </c>
      <c r="E348" s="36">
        <f>IF(D348="","",D348-$C$12)</f>
        <v/>
      </c>
      <c r="F348" s="35" t="n">
        <v>392218.7918395287</v>
      </c>
      <c r="G348" s="36">
        <f>IF(F347&gt;0,F348/F347-1,"")</f>
        <v/>
      </c>
      <c r="H348" s="36">
        <f>IF(G348="","",G348-$D$12)</f>
        <v/>
      </c>
    </row>
    <row r="349">
      <c r="B349" s="34" t="inlineStr">
        <is>
          <t>2023-01-09</t>
        </is>
      </c>
      <c r="C349" s="35" t="n">
        <v>428087.2488280765</v>
      </c>
      <c r="D349" s="36">
        <f>IF(C348&gt;0,C349/C348-1,"")</f>
        <v/>
      </c>
      <c r="E349" s="36">
        <f>IF(D349="","",D349-$C$12)</f>
        <v/>
      </c>
      <c r="F349" s="35" t="n">
        <v>392576.6404039984</v>
      </c>
      <c r="G349" s="36">
        <f>IF(F348&gt;0,F349/F348-1,"")</f>
        <v/>
      </c>
      <c r="H349" s="36">
        <f>IF(G349="","",G349-$D$12)</f>
        <v/>
      </c>
    </row>
    <row r="350">
      <c r="B350" s="34" t="inlineStr">
        <is>
          <t>2023-01-10</t>
        </is>
      </c>
      <c r="C350" s="35" t="n">
        <v>427377.722953762</v>
      </c>
      <c r="D350" s="36">
        <f>IF(C349&gt;0,C350/C349-1,"")</f>
        <v/>
      </c>
      <c r="E350" s="36">
        <f>IF(D350="","",D350-$C$12)</f>
        <v/>
      </c>
      <c r="F350" s="35" t="n">
        <v>392096.629881719</v>
      </c>
      <c r="G350" s="36">
        <f>IF(F349&gt;0,F350/F349-1,"")</f>
        <v/>
      </c>
      <c r="H350" s="36">
        <f>IF(G350="","",G350-$D$12)</f>
        <v/>
      </c>
    </row>
    <row r="351">
      <c r="B351" s="34" t="inlineStr">
        <is>
          <t>2023-01-11</t>
        </is>
      </c>
      <c r="C351" s="35" t="n">
        <v>428295.3222472313</v>
      </c>
      <c r="D351" s="36">
        <f>IF(C350&gt;0,C351/C350-1,"")</f>
        <v/>
      </c>
      <c r="E351" s="36">
        <f>IF(D351="","",D351-$C$12)</f>
        <v/>
      </c>
      <c r="F351" s="35" t="n">
        <v>393060.0357562284</v>
      </c>
      <c r="G351" s="36">
        <f>IF(F350&gt;0,F351/F350-1,"")</f>
        <v/>
      </c>
      <c r="H351" s="36">
        <f>IF(G351="","",G351-$D$12)</f>
        <v/>
      </c>
    </row>
    <row r="352">
      <c r="B352" s="34" t="inlineStr">
        <is>
          <t>2023-01-12</t>
        </is>
      </c>
      <c r="C352" s="35" t="n">
        <v>430587.5588877128</v>
      </c>
      <c r="D352" s="36">
        <f>IF(C351&gt;0,C352/C351-1,"")</f>
        <v/>
      </c>
      <c r="E352" s="36">
        <f>IF(D352="","",D352-$C$12)</f>
        <v/>
      </c>
      <c r="F352" s="35" t="n">
        <v>395095.129433559</v>
      </c>
      <c r="G352" s="36">
        <f>IF(F351&gt;0,F352/F351-1,"")</f>
        <v/>
      </c>
      <c r="H352" s="36">
        <f>IF(G352="","",G352-$D$12)</f>
        <v/>
      </c>
    </row>
    <row r="353">
      <c r="B353" s="34" t="inlineStr">
        <is>
          <t>2023-01-13</t>
        </is>
      </c>
      <c r="C353" s="35" t="n">
        <v>431096.3592693079</v>
      </c>
      <c r="D353" s="36">
        <f>IF(C352&gt;0,C353/C352-1,"")</f>
        <v/>
      </c>
      <c r="E353" s="36">
        <f>IF(D353="","",D353-$C$12)</f>
        <v/>
      </c>
      <c r="F353" s="35" t="n">
        <v>395208.1779384406</v>
      </c>
      <c r="G353" s="36">
        <f>IF(F352&gt;0,F353/F352-1,"")</f>
        <v/>
      </c>
      <c r="H353" s="36">
        <f>IF(G353="","",G353-$D$12)</f>
        <v/>
      </c>
    </row>
    <row r="354">
      <c r="B354" s="34" t="inlineStr">
        <is>
          <t>2023-01-16</t>
        </is>
      </c>
      <c r="C354" s="35" t="n">
        <v>432794.6360535722</v>
      </c>
      <c r="D354" s="36">
        <f>IF(C353&gt;0,C354/C353-1,"")</f>
        <v/>
      </c>
      <c r="E354" s="36">
        <f>IF(D354="","",D354-$C$12)</f>
        <v/>
      </c>
      <c r="F354" s="35" t="n">
        <v>396687.2443678229</v>
      </c>
      <c r="G354" s="36">
        <f>IF(F353&gt;0,F354/F353-1,"")</f>
        <v/>
      </c>
      <c r="H354" s="36">
        <f>IF(G354="","",G354-$D$12)</f>
        <v/>
      </c>
    </row>
    <row r="355">
      <c r="B355" s="34" t="inlineStr">
        <is>
          <t>2023-01-17</t>
        </is>
      </c>
      <c r="C355" s="35" t="n">
        <v>433231.0187213126</v>
      </c>
      <c r="D355" s="36">
        <f>IF(C354&gt;0,C355/C354-1,"")</f>
        <v/>
      </c>
      <c r="E355" s="36">
        <f>IF(D355="","",D355-$C$12)</f>
        <v/>
      </c>
      <c r="F355" s="35" t="n">
        <v>396948.1306744831</v>
      </c>
      <c r="G355" s="36">
        <f>IF(F354&gt;0,F355/F354-1,"")</f>
        <v/>
      </c>
      <c r="H355" s="36">
        <f>IF(G355="","",G355-$D$12)</f>
        <v/>
      </c>
    </row>
    <row r="356">
      <c r="B356" s="34" t="inlineStr">
        <is>
          <t>2023-01-18</t>
        </is>
      </c>
      <c r="C356" s="35" t="n">
        <v>432496.8164650896</v>
      </c>
      <c r="D356" s="36">
        <f>IF(C355&gt;0,C356/C355-1,"")</f>
        <v/>
      </c>
      <c r="E356" s="36">
        <f>IF(D356="","",D356-$C$12)</f>
        <v/>
      </c>
      <c r="F356" s="35" t="n">
        <v>396084.4875957916</v>
      </c>
      <c r="G356" s="36">
        <f>IF(F355&gt;0,F356/F355-1,"")</f>
        <v/>
      </c>
      <c r="H356" s="36">
        <f>IF(G356="","",G356-$D$12)</f>
        <v/>
      </c>
    </row>
    <row r="357">
      <c r="B357" s="34" t="inlineStr">
        <is>
          <t>2023-01-19</t>
        </is>
      </c>
      <c r="C357" s="35" t="n">
        <v>430048.6334481463</v>
      </c>
      <c r="D357" s="36">
        <f>IF(C356&gt;0,C357/C356-1,"")</f>
        <v/>
      </c>
      <c r="E357" s="36">
        <f>IF(D357="","",D357-$C$12)</f>
        <v/>
      </c>
      <c r="F357" s="35" t="n">
        <v>393501.7531394485</v>
      </c>
      <c r="G357" s="36">
        <f>IF(F356&gt;0,F357/F356-1,"")</f>
        <v/>
      </c>
      <c r="H357" s="36">
        <f>IF(G357="","",G357-$D$12)</f>
        <v/>
      </c>
    </row>
    <row r="358">
      <c r="B358" s="34" t="inlineStr">
        <is>
          <t>2023-01-20</t>
        </is>
      </c>
      <c r="C358" s="35" t="n">
        <v>432208.292010139</v>
      </c>
      <c r="D358" s="36">
        <f>IF(C357&gt;0,C358/C357-1,"")</f>
        <v/>
      </c>
      <c r="E358" s="36">
        <f>IF(D358="","",D358-$C$12)</f>
        <v/>
      </c>
      <c r="F358" s="35" t="n">
        <v>395311.2078629842</v>
      </c>
      <c r="G358" s="36">
        <f>IF(F357&gt;0,F358/F357-1,"")</f>
        <v/>
      </c>
      <c r="H358" s="36">
        <f>IF(G358="","",G358-$D$12)</f>
        <v/>
      </c>
    </row>
    <row r="359">
      <c r="B359" s="34" t="inlineStr">
        <is>
          <t>2023-01-23</t>
        </is>
      </c>
      <c r="C359" s="35" t="n">
        <v>434567.1204708436</v>
      </c>
      <c r="D359" s="36">
        <f>IF(C358&gt;0,C359/C358-1,"")</f>
        <v/>
      </c>
      <c r="E359" s="36">
        <f>IF(D359="","",D359-$C$12)</f>
        <v/>
      </c>
      <c r="F359" s="35" t="n">
        <v>397335.5382195897</v>
      </c>
      <c r="G359" s="36">
        <f>IF(F358&gt;0,F359/F358-1,"")</f>
        <v/>
      </c>
      <c r="H359" s="36">
        <f>IF(G359="","",G359-$D$12)</f>
        <v/>
      </c>
    </row>
    <row r="360">
      <c r="B360" s="34" t="inlineStr">
        <is>
          <t>2023-01-24</t>
        </is>
      </c>
      <c r="C360" s="35" t="n">
        <v>435168.6612813175</v>
      </c>
      <c r="D360" s="36">
        <f>IF(C359&gt;0,C360/C359-1,"")</f>
        <v/>
      </c>
      <c r="E360" s="36">
        <f>IF(D360="","",D360-$C$12)</f>
        <v/>
      </c>
      <c r="F360" s="35" t="n">
        <v>397601.0437029515</v>
      </c>
      <c r="G360" s="36">
        <f>IF(F359&gt;0,F360/F359-1,"")</f>
        <v/>
      </c>
      <c r="H360" s="36">
        <f>IF(G360="","",G360-$D$12)</f>
        <v/>
      </c>
    </row>
    <row r="361">
      <c r="B361" s="34" t="inlineStr">
        <is>
          <t>2023-01-25</t>
        </is>
      </c>
      <c r="C361" s="35" t="n">
        <v>433887.4233956464</v>
      </c>
      <c r="D361" s="36">
        <f>IF(C360&gt;0,C361/C360-1,"")</f>
        <v/>
      </c>
      <c r="E361" s="36">
        <f>IF(D361="","",D361-$C$12)</f>
        <v/>
      </c>
      <c r="F361" s="35" t="n">
        <v>396621.8364172434</v>
      </c>
      <c r="G361" s="36">
        <f>IF(F360&gt;0,F361/F360-1,"")</f>
        <v/>
      </c>
      <c r="H361" s="36">
        <f>IF(G361="","",G361-$D$12)</f>
        <v/>
      </c>
    </row>
    <row r="362">
      <c r="B362" s="34" t="inlineStr">
        <is>
          <t>2023-01-26</t>
        </is>
      </c>
      <c r="C362" s="35" t="n">
        <v>432702.0309976414</v>
      </c>
      <c r="D362" s="36">
        <f>IF(C361&gt;0,C362/C361-1,"")</f>
        <v/>
      </c>
      <c r="E362" s="36">
        <f>IF(D362="","",D362-$C$12)</f>
        <v/>
      </c>
      <c r="F362" s="35" t="n">
        <v>396010.99125468</v>
      </c>
      <c r="G362" s="36">
        <f>IF(F361&gt;0,F362/F361-1,"")</f>
        <v/>
      </c>
      <c r="H362" s="36">
        <f>IF(G362="","",G362-$D$12)</f>
        <v/>
      </c>
    </row>
    <row r="363">
      <c r="B363" s="34" t="inlineStr">
        <is>
          <t>2023-01-27</t>
        </is>
      </c>
      <c r="C363" s="35" t="n">
        <v>434280.2168984645</v>
      </c>
      <c r="D363" s="36">
        <f>IF(C362&gt;0,C363/C362-1,"")</f>
        <v/>
      </c>
      <c r="E363" s="36">
        <f>IF(D363="","",D363-$C$12)</f>
        <v/>
      </c>
      <c r="F363" s="35" t="n">
        <v>397341.1393525175</v>
      </c>
      <c r="G363" s="36">
        <f>IF(F362&gt;0,F363/F362-1,"")</f>
        <v/>
      </c>
      <c r="H363" s="36">
        <f>IF(G363="","",G363-$D$12)</f>
        <v/>
      </c>
    </row>
    <row r="364">
      <c r="B364" s="34" t="inlineStr">
        <is>
          <t>2023-01-30</t>
        </is>
      </c>
      <c r="C364" s="35" t="n">
        <v>433874.775570258</v>
      </c>
      <c r="D364" s="36">
        <f>IF(C363&gt;0,C364/C363-1,"")</f>
        <v/>
      </c>
      <c r="E364" s="36">
        <f>IF(D364="","",D364-$C$12)</f>
        <v/>
      </c>
      <c r="F364" s="35" t="n">
        <v>396372.058491517</v>
      </c>
      <c r="G364" s="36">
        <f>IF(F363&gt;0,F364/F363-1,"")</f>
        <v/>
      </c>
      <c r="H364" s="36">
        <f>IF(G364="","",G364-$D$12)</f>
        <v/>
      </c>
    </row>
    <row r="365">
      <c r="B365" s="34" t="inlineStr">
        <is>
          <t>2023-01-31</t>
        </is>
      </c>
      <c r="C365" s="35" t="n">
        <v>432360.6002235776</v>
      </c>
      <c r="D365" s="36">
        <f>IF(C364&gt;0,C365/C364-1,"")</f>
        <v/>
      </c>
      <c r="E365" s="36">
        <f>IF(D365="","",D365-$C$12)</f>
        <v/>
      </c>
      <c r="F365" s="35" t="n">
        <v>395386.6273867374</v>
      </c>
      <c r="G365" s="36">
        <f>IF(F364&gt;0,F365/F364-1,"")</f>
        <v/>
      </c>
      <c r="H365" s="36">
        <f>IF(G365="","",G365-$D$12)</f>
        <v/>
      </c>
    </row>
    <row r="366">
      <c r="B366" s="34" t="inlineStr">
        <is>
          <t>2023-02-01</t>
        </is>
      </c>
      <c r="C366" s="35" t="n">
        <v>432081.2140710085</v>
      </c>
      <c r="D366" s="36">
        <f>IF(C365&gt;0,C366/C365-1,"")</f>
        <v/>
      </c>
      <c r="E366" s="36">
        <f>IF(D366="","",D366-$C$12)</f>
        <v/>
      </c>
      <c r="F366" s="35" t="n">
        <v>394954.7692080969</v>
      </c>
      <c r="G366" s="36">
        <f>IF(F365&gt;0,F366/F365-1,"")</f>
        <v/>
      </c>
      <c r="H366" s="36">
        <f>IF(G366="","",G366-$D$12)</f>
        <v/>
      </c>
    </row>
    <row r="367">
      <c r="B367" s="34" t="inlineStr">
        <is>
          <t>2023-02-02</t>
        </is>
      </c>
      <c r="C367" s="35" t="n">
        <v>430875.1160547962</v>
      </c>
      <c r="D367" s="36">
        <f>IF(C366&gt;0,C367/C366-1,"")</f>
        <v/>
      </c>
      <c r="E367" s="36">
        <f>IF(D367="","",D367-$C$12)</f>
        <v/>
      </c>
      <c r="F367" s="35" t="n">
        <v>394398.3997196313</v>
      </c>
      <c r="G367" s="36">
        <f>IF(F366&gt;0,F367/F366-1,"")</f>
        <v/>
      </c>
      <c r="H367" s="36">
        <f>IF(G367="","",G367-$D$12)</f>
        <v/>
      </c>
    </row>
    <row r="368">
      <c r="B368" s="34" t="inlineStr">
        <is>
          <t>2023-02-03</t>
        </is>
      </c>
      <c r="C368" s="35" t="n">
        <v>433102.6184589847</v>
      </c>
      <c r="D368" s="36">
        <f>IF(C367&gt;0,C368/C367-1,"")</f>
        <v/>
      </c>
      <c r="E368" s="36">
        <f>IF(D368="","",D368-$C$12)</f>
        <v/>
      </c>
      <c r="F368" s="35" t="n">
        <v>396291.5172103262</v>
      </c>
      <c r="G368" s="36">
        <f>IF(F367&gt;0,F368/F367-1,"")</f>
        <v/>
      </c>
      <c r="H368" s="36">
        <f>IF(G368="","",G368-$D$12)</f>
        <v/>
      </c>
    </row>
    <row r="369">
      <c r="B369" s="34" t="inlineStr">
        <is>
          <t>2023-02-06</t>
        </is>
      </c>
      <c r="C369" s="35" t="n">
        <v>432136.6811860847</v>
      </c>
      <c r="D369" s="36">
        <f>IF(C368&gt;0,C369/C368-1,"")</f>
        <v/>
      </c>
      <c r="E369" s="36">
        <f>IF(D369="","",D369-$C$12)</f>
        <v/>
      </c>
      <c r="F369" s="35" t="n">
        <v>395180.6950754822</v>
      </c>
      <c r="G369" s="36">
        <f>IF(F368&gt;0,F369/F368-1,"")</f>
        <v/>
      </c>
      <c r="H369" s="36">
        <f>IF(G369="","",G369-$D$12)</f>
        <v/>
      </c>
    </row>
    <row r="370">
      <c r="B370" s="34" t="inlineStr">
        <is>
          <t>2023-02-07</t>
        </is>
      </c>
      <c r="C370" s="35" t="n">
        <v>432049.7147882712</v>
      </c>
      <c r="D370" s="36">
        <f>IF(C369&gt;0,C370/C369-1,"")</f>
        <v/>
      </c>
      <c r="E370" s="36">
        <f>IF(D370="","",D370-$C$12)</f>
        <v/>
      </c>
      <c r="F370" s="35" t="n">
        <v>394634.9796360862</v>
      </c>
      <c r="G370" s="36">
        <f>IF(F369&gt;0,F370/F369-1,"")</f>
        <v/>
      </c>
      <c r="H370" s="36">
        <f>IF(G370="","",G370-$D$12)</f>
        <v/>
      </c>
    </row>
    <row r="371">
      <c r="B371" s="34" t="inlineStr">
        <is>
          <t>2023-02-08</t>
        </is>
      </c>
      <c r="C371" s="35" t="n">
        <v>433369.5814154934</v>
      </c>
      <c r="D371" s="36">
        <f>IF(C370&gt;0,C371/C370-1,"")</f>
        <v/>
      </c>
      <c r="E371" s="36">
        <f>IF(D371="","",D371-$C$12)</f>
        <v/>
      </c>
      <c r="F371" s="35" t="n">
        <v>395286.7573597674</v>
      </c>
      <c r="G371" s="36">
        <f>IF(F370&gt;0,F371/F370-1,"")</f>
        <v/>
      </c>
      <c r="H371" s="36">
        <f>IF(G371="","",G371-$D$12)</f>
        <v/>
      </c>
    </row>
    <row r="372">
      <c r="B372" s="34" t="inlineStr">
        <is>
          <t>2023-02-09</t>
        </is>
      </c>
      <c r="C372" s="35" t="n">
        <v>432969.7665746279</v>
      </c>
      <c r="D372" s="36">
        <f>IF(C371&gt;0,C372/C371-1,"")</f>
        <v/>
      </c>
      <c r="E372" s="36">
        <f>IF(D372="","",D372-$C$12)</f>
        <v/>
      </c>
      <c r="F372" s="35" t="n">
        <v>395105.6485477049</v>
      </c>
      <c r="G372" s="36">
        <f>IF(F371&gt;0,F372/F371-1,"")</f>
        <v/>
      </c>
      <c r="H372" s="36">
        <f>IF(G372="","",G372-$D$12)</f>
        <v/>
      </c>
    </row>
    <row r="373">
      <c r="B373" s="34" t="inlineStr">
        <is>
          <t>2023-02-10</t>
        </is>
      </c>
      <c r="C373" s="35" t="n">
        <v>430081.9833404202</v>
      </c>
      <c r="D373" s="36">
        <f>IF(C372&gt;0,C373/C372-1,"")</f>
        <v/>
      </c>
      <c r="E373" s="36">
        <f>IF(D373="","",D373-$C$12)</f>
        <v/>
      </c>
      <c r="F373" s="35" t="n">
        <v>392889.4004247292</v>
      </c>
      <c r="G373" s="36">
        <f>IF(F372&gt;0,F373/F372-1,"")</f>
        <v/>
      </c>
      <c r="H373" s="36">
        <f>IF(G373="","",G373-$D$12)</f>
        <v/>
      </c>
    </row>
    <row r="374">
      <c r="B374" s="34" t="inlineStr">
        <is>
          <t>2023-02-13</t>
        </is>
      </c>
      <c r="C374" s="35" t="n">
        <v>430979.5832326115</v>
      </c>
      <c r="D374" s="36">
        <f>IF(C373&gt;0,C374/C373-1,"")</f>
        <v/>
      </c>
      <c r="E374" s="36">
        <f>IF(D374="","",D374-$C$12)</f>
        <v/>
      </c>
      <c r="F374" s="35" t="n">
        <v>393628.3447070426</v>
      </c>
      <c r="G374" s="36">
        <f>IF(F373&gt;0,F374/F373-1,"")</f>
        <v/>
      </c>
      <c r="H374" s="36">
        <f>IF(G374="","",G374-$D$12)</f>
        <v/>
      </c>
    </row>
    <row r="375">
      <c r="B375" s="34" t="inlineStr">
        <is>
          <t>2023-02-14</t>
        </is>
      </c>
      <c r="C375" s="35" t="n">
        <v>432293.9368177858</v>
      </c>
      <c r="D375" s="36">
        <f>IF(C374&gt;0,C375/C374-1,"")</f>
        <v/>
      </c>
      <c r="E375" s="36">
        <f>IF(D375="","",D375-$C$12)</f>
        <v/>
      </c>
      <c r="F375" s="35" t="n">
        <v>394566.3165986357</v>
      </c>
      <c r="G375" s="36">
        <f>IF(F374&gt;0,F375/F374-1,"")</f>
        <v/>
      </c>
      <c r="H375" s="36">
        <f>IF(G375="","",G375-$D$12)</f>
        <v/>
      </c>
    </row>
    <row r="376">
      <c r="B376" s="34" t="inlineStr">
        <is>
          <t>2023-02-15</t>
        </is>
      </c>
      <c r="C376" s="35" t="n">
        <v>431597.8701204876</v>
      </c>
      <c r="D376" s="36">
        <f>IF(C375&gt;0,C376/C375-1,"")</f>
        <v/>
      </c>
      <c r="E376" s="36">
        <f>IF(D376="","",D376-$C$12)</f>
        <v/>
      </c>
      <c r="F376" s="35" t="n">
        <v>393963.9932952373</v>
      </c>
      <c r="G376" s="36">
        <f>IF(F375&gt;0,F376/F375-1,"")</f>
        <v/>
      </c>
      <c r="H376" s="36">
        <f>IF(G376="","",G376-$D$12)</f>
        <v/>
      </c>
    </row>
    <row r="377">
      <c r="B377" s="34" t="inlineStr">
        <is>
          <t>2023-02-16</t>
        </is>
      </c>
      <c r="C377" s="35" t="n">
        <v>429230.0663828401</v>
      </c>
      <c r="D377" s="36">
        <f>IF(C376&gt;0,C377/C376-1,"")</f>
        <v/>
      </c>
      <c r="E377" s="36">
        <f>IF(D377="","",D377-$C$12)</f>
        <v/>
      </c>
      <c r="F377" s="35" t="n">
        <v>392596.6263747202</v>
      </c>
      <c r="G377" s="36">
        <f>IF(F376&gt;0,F377/F376-1,"")</f>
        <v/>
      </c>
      <c r="H377" s="36">
        <f>IF(G377="","",G377-$D$12)</f>
        <v/>
      </c>
    </row>
    <row r="378">
      <c r="B378" s="34" t="inlineStr">
        <is>
          <t>2023-02-17</t>
        </is>
      </c>
      <c r="C378" s="35" t="n">
        <v>430137.0798873869</v>
      </c>
      <c r="D378" s="36">
        <f>IF(C377&gt;0,C378/C377-1,"")</f>
        <v/>
      </c>
      <c r="E378" s="36">
        <f>IF(D378="","",D378-$C$12)</f>
        <v/>
      </c>
      <c r="F378" s="35" t="n">
        <v>393570.1386307677</v>
      </c>
      <c r="G378" s="36">
        <f>IF(F377&gt;0,F378/F377-1,"")</f>
        <v/>
      </c>
      <c r="H378" s="36">
        <f>IF(G378="","",G378-$D$12)</f>
        <v/>
      </c>
    </row>
    <row r="379">
      <c r="B379" s="34" t="inlineStr">
        <is>
          <t>2023-02-20</t>
        </is>
      </c>
      <c r="C379" s="35" t="n">
        <v>430304.7340783018</v>
      </c>
      <c r="D379" s="36">
        <f>IF(C378&gt;0,C379/C378-1,"")</f>
        <v/>
      </c>
      <c r="E379" s="36">
        <f>IF(D379="","",D379-$C$12)</f>
        <v/>
      </c>
      <c r="F379" s="35" t="n">
        <v>393731.7667486973</v>
      </c>
      <c r="G379" s="36">
        <f>IF(F378&gt;0,F379/F378-1,"")</f>
        <v/>
      </c>
      <c r="H379" s="36">
        <f>IF(G379="","",G379-$D$12)</f>
        <v/>
      </c>
    </row>
    <row r="380">
      <c r="B380" s="34" t="inlineStr">
        <is>
          <t>2023-02-21</t>
        </is>
      </c>
      <c r="C380" s="35" t="n">
        <v>429528.8867927006</v>
      </c>
      <c r="D380" s="36">
        <f>IF(C379&gt;0,C380/C379-1,"")</f>
        <v/>
      </c>
      <c r="E380" s="36">
        <f>IF(D380="","",D380-$C$12)</f>
        <v/>
      </c>
      <c r="F380" s="35" t="n">
        <v>392656.2172858943</v>
      </c>
      <c r="G380" s="36">
        <f>IF(F379&gt;0,F380/F379-1,"")</f>
        <v/>
      </c>
      <c r="H380" s="36">
        <f>IF(G380="","",G380-$D$12)</f>
        <v/>
      </c>
    </row>
    <row r="381">
      <c r="B381" s="34" t="inlineStr">
        <is>
          <t>2023-02-22</t>
        </is>
      </c>
      <c r="C381" s="35" t="n">
        <v>429262.6445500061</v>
      </c>
      <c r="D381" s="36">
        <f>IF(C380&gt;0,C381/C380-1,"")</f>
        <v/>
      </c>
      <c r="E381" s="36">
        <f>IF(D381="","",D381-$C$12)</f>
        <v/>
      </c>
      <c r="F381" s="35" t="n">
        <v>392151.2583965358</v>
      </c>
      <c r="G381" s="36">
        <f>IF(F380&gt;0,F381/F380-1,"")</f>
        <v/>
      </c>
      <c r="H381" s="36">
        <f>IF(G381="","",G381-$D$12)</f>
        <v/>
      </c>
    </row>
    <row r="382">
      <c r="B382" s="34" t="inlineStr">
        <is>
          <t>2023-02-23</t>
        </is>
      </c>
      <c r="C382" s="35" t="n">
        <v>430351.5043539157</v>
      </c>
      <c r="D382" s="36">
        <f>IF(C381&gt;0,C382/C381-1,"")</f>
        <v/>
      </c>
      <c r="E382" s="36">
        <f>IF(D382="","",D382-$C$12)</f>
        <v/>
      </c>
      <c r="F382" s="35" t="n">
        <v>392714.3566378153</v>
      </c>
      <c r="G382" s="36">
        <f>IF(F381&gt;0,F382/F381-1,"")</f>
        <v/>
      </c>
      <c r="H382" s="36">
        <f>IF(G382="","",G382-$D$12)</f>
        <v/>
      </c>
    </row>
    <row r="383">
      <c r="B383" s="34" t="inlineStr">
        <is>
          <t>2023-02-24</t>
        </is>
      </c>
      <c r="C383" s="35" t="n">
        <v>429363.2080881218</v>
      </c>
      <c r="D383" s="36">
        <f>IF(C382&gt;0,C383/C382-1,"")</f>
        <v/>
      </c>
      <c r="E383" s="36">
        <f>IF(D383="","",D383-$C$12)</f>
        <v/>
      </c>
      <c r="F383" s="35" t="n">
        <v>391774.65947281</v>
      </c>
      <c r="G383" s="36">
        <f>IF(F382&gt;0,F383/F382-1,"")</f>
        <v/>
      </c>
      <c r="H383" s="36">
        <f>IF(G383="","",G383-$D$12)</f>
        <v/>
      </c>
    </row>
    <row r="384">
      <c r="B384" s="34" t="inlineStr">
        <is>
          <t>2023-02-27</t>
        </is>
      </c>
      <c r="C384" s="35" t="n">
        <v>431066.382548127</v>
      </c>
      <c r="D384" s="36">
        <f>IF(C383&gt;0,C384/C383-1,"")</f>
        <v/>
      </c>
      <c r="E384" s="36">
        <f>IF(D384="","",D384-$C$12)</f>
        <v/>
      </c>
      <c r="F384" s="35" t="n">
        <v>393131.2385486875</v>
      </c>
      <c r="G384" s="36">
        <f>IF(F383&gt;0,F384/F383-1,"")</f>
        <v/>
      </c>
      <c r="H384" s="36">
        <f>IF(G384="","",G384-$D$12)</f>
        <v/>
      </c>
    </row>
    <row r="385">
      <c r="B385" s="34" t="inlineStr">
        <is>
          <t>2023-02-28</t>
        </is>
      </c>
      <c r="C385" s="35" t="n">
        <v>429738.5958322068</v>
      </c>
      <c r="D385" s="36">
        <f>IF(C384&gt;0,C385/C384-1,"")</f>
        <v/>
      </c>
      <c r="E385" s="36">
        <f>IF(D385="","",D385-$C$12)</f>
        <v/>
      </c>
      <c r="F385" s="35" t="n">
        <v>392338.0500478125</v>
      </c>
      <c r="G385" s="36">
        <f>IF(F384&gt;0,F385/F384-1,"")</f>
        <v/>
      </c>
      <c r="H385" s="36">
        <f>IF(G385="","",G385-$D$12)</f>
        <v/>
      </c>
    </row>
    <row r="386">
      <c r="B386" s="34" t="inlineStr">
        <is>
          <t>2023-03-01</t>
        </is>
      </c>
      <c r="C386" s="35" t="n">
        <v>429528.0171821838</v>
      </c>
      <c r="D386" s="36">
        <f>IF(C385&gt;0,C386/C385-1,"")</f>
        <v/>
      </c>
      <c r="E386" s="36">
        <f>IF(D386="","",D386-$C$12)</f>
        <v/>
      </c>
      <c r="F386" s="35" t="n">
        <v>392505.7025700907</v>
      </c>
      <c r="G386" s="36">
        <f>IF(F385&gt;0,F386/F385-1,"")</f>
        <v/>
      </c>
      <c r="H386" s="36">
        <f>IF(G386="","",G386-$D$12)</f>
        <v/>
      </c>
    </row>
    <row r="387">
      <c r="B387" s="34" t="inlineStr">
        <is>
          <t>2023-03-02</t>
        </is>
      </c>
      <c r="C387" s="35" t="n">
        <v>431402.6738185484</v>
      </c>
      <c r="D387" s="36">
        <f>IF(C386&gt;0,C387/C386-1,"")</f>
        <v/>
      </c>
      <c r="E387" s="36">
        <f>IF(D387="","",D387-$C$12)</f>
        <v/>
      </c>
      <c r="F387" s="35" t="n">
        <v>393755.2914159268</v>
      </c>
      <c r="G387" s="36">
        <f>IF(F386&gt;0,F387/F386-1,"")</f>
        <v/>
      </c>
      <c r="H387" s="36">
        <f>IF(G387="","",G387-$D$12)</f>
        <v/>
      </c>
    </row>
    <row r="388">
      <c r="B388" s="34" t="inlineStr">
        <is>
          <t>2023-03-03</t>
        </is>
      </c>
      <c r="C388" s="35" t="n">
        <v>431352.8941014434</v>
      </c>
      <c r="D388" s="36">
        <f>IF(C387&gt;0,C388/C387-1,"")</f>
        <v/>
      </c>
      <c r="E388" s="36">
        <f>IF(D388="","",D388-$C$12)</f>
        <v/>
      </c>
      <c r="F388" s="35" t="n">
        <v>393903.3696082198</v>
      </c>
      <c r="G388" s="36">
        <f>IF(F387&gt;0,F388/F387-1,"")</f>
        <v/>
      </c>
      <c r="H388" s="36">
        <f>IF(G388="","",G388-$D$12)</f>
        <v/>
      </c>
    </row>
    <row r="389">
      <c r="B389" s="34" t="inlineStr">
        <is>
          <t>2023-03-06</t>
        </is>
      </c>
      <c r="C389" s="35" t="n">
        <v>430975.7646271134</v>
      </c>
      <c r="D389" s="36">
        <f>IF(C388&gt;0,C389/C388-1,"")</f>
        <v/>
      </c>
      <c r="E389" s="36">
        <f>IF(D389="","",D389-$C$12)</f>
        <v/>
      </c>
      <c r="F389" s="35" t="n">
        <v>393595.0580609008</v>
      </c>
      <c r="G389" s="36">
        <f>IF(F388&gt;0,F389/F388-1,"")</f>
        <v/>
      </c>
      <c r="H389" s="36">
        <f>IF(G389="","",G389-$D$12)</f>
        <v/>
      </c>
    </row>
    <row r="390">
      <c r="B390" s="34" t="inlineStr">
        <is>
          <t>2023-03-07</t>
        </is>
      </c>
      <c r="C390" s="35" t="n">
        <v>429828.9837764615</v>
      </c>
      <c r="D390" s="36">
        <f>IF(C389&gt;0,C390/C389-1,"")</f>
        <v/>
      </c>
      <c r="E390" s="36">
        <f>IF(D390="","",D390-$C$12)</f>
        <v/>
      </c>
      <c r="F390" s="35" t="n">
        <v>392291.7612377906</v>
      </c>
      <c r="G390" s="36">
        <f>IF(F389&gt;0,F390/F389-1,"")</f>
        <v/>
      </c>
      <c r="H390" s="36">
        <f>IF(G390="","",G390-$D$12)</f>
        <v/>
      </c>
    </row>
    <row r="391">
      <c r="B391" s="34" t="inlineStr">
        <is>
          <t>2023-03-08</t>
        </is>
      </c>
      <c r="C391" s="35" t="n">
        <v>429096.922304375</v>
      </c>
      <c r="D391" s="36">
        <f>IF(C390&gt;0,C391/C390-1,"")</f>
        <v/>
      </c>
      <c r="E391" s="36">
        <f>IF(D391="","",D391-$C$12)</f>
        <v/>
      </c>
      <c r="F391" s="35" t="n">
        <v>391718.9179732607</v>
      </c>
      <c r="G391" s="36">
        <f>IF(F390&gt;0,F391/F390-1,"")</f>
        <v/>
      </c>
      <c r="H391" s="36">
        <f>IF(G391="","",G391-$D$12)</f>
        <v/>
      </c>
    </row>
    <row r="392">
      <c r="B392" s="34" t="inlineStr">
        <is>
          <t>2023-03-09</t>
        </is>
      </c>
      <c r="C392" s="35" t="n">
        <v>428284.4935831643</v>
      </c>
      <c r="D392" s="36">
        <f>IF(C391&gt;0,C392/C391-1,"")</f>
        <v/>
      </c>
      <c r="E392" s="36">
        <f>IF(D392="","",D392-$C$12)</f>
        <v/>
      </c>
      <c r="F392" s="35" t="n">
        <v>390921.2150369954</v>
      </c>
      <c r="G392" s="36">
        <f>IF(F391&gt;0,F392/F391-1,"")</f>
        <v/>
      </c>
      <c r="H392" s="36">
        <f>IF(G392="","",G392-$D$12)</f>
        <v/>
      </c>
    </row>
    <row r="393">
      <c r="B393" s="34" t="inlineStr">
        <is>
          <t>2023-03-10</t>
        </is>
      </c>
      <c r="C393" s="35" t="n">
        <v>423766.7280187054</v>
      </c>
      <c r="D393" s="36">
        <f>IF(C392&gt;0,C393/C392-1,"")</f>
        <v/>
      </c>
      <c r="E393" s="36">
        <f>IF(D393="","",D393-$C$12)</f>
        <v/>
      </c>
      <c r="F393" s="35" t="n">
        <v>386982.442513685</v>
      </c>
      <c r="G393" s="36">
        <f>IF(F392&gt;0,F393/F392-1,"")</f>
        <v/>
      </c>
      <c r="H393" s="36">
        <f>IF(G393="","",G393-$D$12)</f>
        <v/>
      </c>
    </row>
    <row r="394">
      <c r="B394" s="34" t="inlineStr">
        <is>
          <t>2023-03-13</t>
        </is>
      </c>
      <c r="C394" s="35" t="n">
        <v>420578.3706665788</v>
      </c>
      <c r="D394" s="36">
        <f>IF(C393&gt;0,C394/C393-1,"")</f>
        <v/>
      </c>
      <c r="E394" s="36">
        <f>IF(D394="","",D394-$C$12)</f>
        <v/>
      </c>
      <c r="F394" s="35" t="n">
        <v>384605.5316976691</v>
      </c>
      <c r="G394" s="36">
        <f>IF(F393&gt;0,F394/F393-1,"")</f>
        <v/>
      </c>
      <c r="H394" s="36">
        <f>IF(G394="","",G394-$D$12)</f>
        <v/>
      </c>
    </row>
    <row r="395">
      <c r="B395" s="34" t="inlineStr">
        <is>
          <t>2023-03-14</t>
        </is>
      </c>
      <c r="C395" s="35" t="n">
        <v>422728.342474978</v>
      </c>
      <c r="D395" s="36">
        <f>IF(C394&gt;0,C395/C394-1,"")</f>
        <v/>
      </c>
      <c r="E395" s="36">
        <f>IF(D395="","",D395-$C$12)</f>
        <v/>
      </c>
      <c r="F395" s="35" t="n">
        <v>386533.230456172</v>
      </c>
      <c r="G395" s="36">
        <f>IF(F394&gt;0,F395/F394-1,"")</f>
        <v/>
      </c>
      <c r="H395" s="36">
        <f>IF(G395="","",G395-$D$12)</f>
        <v/>
      </c>
    </row>
    <row r="396">
      <c r="B396" s="34" t="inlineStr">
        <is>
          <t>2023-03-15</t>
        </is>
      </c>
      <c r="C396" s="35" t="n">
        <v>419072.9574550011</v>
      </c>
      <c r="D396" s="36">
        <f>IF(C395&gt;0,C396/C395-1,"")</f>
        <v/>
      </c>
      <c r="E396" s="36">
        <f>IF(D396="","",D396-$C$12)</f>
        <v/>
      </c>
      <c r="F396" s="35" t="n">
        <v>383437.1141668482</v>
      </c>
      <c r="G396" s="36">
        <f>IF(F395&gt;0,F396/F395-1,"")</f>
        <v/>
      </c>
      <c r="H396" s="36">
        <f>IF(G396="","",G396-$D$12)</f>
        <v/>
      </c>
    </row>
    <row r="397">
      <c r="B397" s="34" t="inlineStr">
        <is>
          <t>2023-03-16</t>
        </is>
      </c>
      <c r="C397" s="35" t="n">
        <v>422260.1660951097</v>
      </c>
      <c r="D397" s="36">
        <f>IF(C396&gt;0,C397/C396-1,"")</f>
        <v/>
      </c>
      <c r="E397" s="36">
        <f>IF(D397="","",D397-$C$12)</f>
        <v/>
      </c>
      <c r="F397" s="35" t="n">
        <v>386279.5183688332</v>
      </c>
      <c r="G397" s="36">
        <f>IF(F396&gt;0,F397/F396-1,"")</f>
        <v/>
      </c>
      <c r="H397" s="36">
        <f>IF(G397="","",G397-$D$12)</f>
        <v/>
      </c>
    </row>
    <row r="398">
      <c r="B398" s="34" t="inlineStr">
        <is>
          <t>2023-03-17</t>
        </is>
      </c>
      <c r="C398" s="35" t="n">
        <v>420452.3409516314</v>
      </c>
      <c r="D398" s="36">
        <f>IF(C397&gt;0,C398/C397-1,"")</f>
        <v/>
      </c>
      <c r="E398" s="36">
        <f>IF(D398="","",D398-$C$12)</f>
        <v/>
      </c>
      <c r="F398" s="35" t="n">
        <v>384598.391478154</v>
      </c>
      <c r="G398" s="36">
        <f>IF(F397&gt;0,F398/F397-1,"")</f>
        <v/>
      </c>
      <c r="H398" s="36">
        <f>IF(G398="","",G398-$D$12)</f>
        <v/>
      </c>
    </row>
    <row r="399">
      <c r="B399" s="34" t="inlineStr">
        <is>
          <t>2023-03-20</t>
        </is>
      </c>
      <c r="C399" s="35" t="n">
        <v>422820.1487242993</v>
      </c>
      <c r="D399" s="36">
        <f>IF(C398&gt;0,C399/C398-1,"")</f>
        <v/>
      </c>
      <c r="E399" s="36">
        <f>IF(D399="","",D399-$C$12)</f>
        <v/>
      </c>
      <c r="F399" s="35" t="n">
        <v>386372.0211103549</v>
      </c>
      <c r="G399" s="36">
        <f>IF(F398&gt;0,F399/F398-1,"")</f>
        <v/>
      </c>
      <c r="H399" s="36">
        <f>IF(G399="","",G399-$D$12)</f>
        <v/>
      </c>
    </row>
    <row r="400">
      <c r="B400" s="34" t="inlineStr">
        <is>
          <t>2023-03-21</t>
        </is>
      </c>
      <c r="C400" s="35" t="n">
        <v>425986.6016204097</v>
      </c>
      <c r="D400" s="36">
        <f>IF(C399&gt;0,C400/C399-1,"")</f>
        <v/>
      </c>
      <c r="E400" s="36">
        <f>IF(D400="","",D400-$C$12)</f>
        <v/>
      </c>
      <c r="F400" s="35" t="n">
        <v>389022.5241321576</v>
      </c>
      <c r="G400" s="36">
        <f>IF(F399&gt;0,F400/F399-1,"")</f>
        <v/>
      </c>
      <c r="H400" s="36">
        <f>IF(G400="","",G400-$D$12)</f>
        <v/>
      </c>
    </row>
    <row r="401">
      <c r="B401" s="34" t="inlineStr">
        <is>
          <t>2023-03-22</t>
        </is>
      </c>
      <c r="C401" s="35" t="n">
        <v>426544.5189336558</v>
      </c>
      <c r="D401" s="36">
        <f>IF(C400&gt;0,C401/C400-1,"")</f>
        <v/>
      </c>
      <c r="E401" s="36">
        <f>IF(D401="","",D401-$C$12)</f>
        <v/>
      </c>
      <c r="F401" s="35" t="n">
        <v>389143.9154622881</v>
      </c>
      <c r="G401" s="36">
        <f>IF(F400&gt;0,F401/F400-1,"")</f>
        <v/>
      </c>
      <c r="H401" s="36">
        <f>IF(G401="","",G401-$D$12)</f>
        <v/>
      </c>
    </row>
    <row r="402">
      <c r="B402" s="34" t="inlineStr">
        <is>
          <t>2023-03-23</t>
        </is>
      </c>
      <c r="C402" s="35" t="n">
        <v>425856.7521808479</v>
      </c>
      <c r="D402" s="36">
        <f>IF(C401&gt;0,C402/C401-1,"")</f>
        <v/>
      </c>
      <c r="E402" s="36">
        <f>IF(D402="","",D402-$C$12)</f>
        <v/>
      </c>
      <c r="F402" s="35" t="n">
        <v>388602.3070806173</v>
      </c>
      <c r="G402" s="36">
        <f>IF(F401&gt;0,F402/F401-1,"")</f>
        <v/>
      </c>
      <c r="H402" s="36">
        <f>IF(G402="","",G402-$D$12)</f>
        <v/>
      </c>
    </row>
    <row r="403">
      <c r="B403" s="34" t="inlineStr">
        <is>
          <t>2023-03-24</t>
        </is>
      </c>
      <c r="C403" s="35" t="n">
        <v>423946.869145286</v>
      </c>
      <c r="D403" s="36">
        <f>IF(C402&gt;0,C403/C402-1,"")</f>
        <v/>
      </c>
      <c r="E403" s="36">
        <f>IF(D403="","",D403-$C$12)</f>
        <v/>
      </c>
      <c r="F403" s="35" t="n">
        <v>386821.7362848636</v>
      </c>
      <c r="G403" s="36">
        <f>IF(F402&gt;0,F403/F402-1,"")</f>
        <v/>
      </c>
      <c r="H403" s="36">
        <f>IF(G403="","",G403-$D$12)</f>
        <v/>
      </c>
    </row>
    <row r="404">
      <c r="B404" s="34" t="inlineStr">
        <is>
          <t>2023-03-27</t>
        </is>
      </c>
      <c r="C404" s="35" t="n">
        <v>424900.7856818829</v>
      </c>
      <c r="D404" s="36">
        <f>IF(C403&gt;0,C404/C403-1,"")</f>
        <v/>
      </c>
      <c r="E404" s="36">
        <f>IF(D404="","",D404-$C$12)</f>
        <v/>
      </c>
      <c r="F404" s="35" t="n">
        <v>387554.5075067299</v>
      </c>
      <c r="G404" s="36">
        <f>IF(F403&gt;0,F404/F403-1,"")</f>
        <v/>
      </c>
      <c r="H404" s="36">
        <f>IF(G404="","",G404-$D$12)</f>
        <v/>
      </c>
    </row>
    <row r="405">
      <c r="B405" s="34" t="inlineStr">
        <is>
          <t>2023-03-28</t>
        </is>
      </c>
      <c r="C405" s="35" t="n">
        <v>426192.1615352306</v>
      </c>
      <c r="D405" s="36">
        <f>IF(C404&gt;0,C405/C404-1,"")</f>
        <v/>
      </c>
      <c r="E405" s="36">
        <f>IF(D405="","",D405-$C$12)</f>
        <v/>
      </c>
      <c r="F405" s="35" t="n">
        <v>388431.557673128</v>
      </c>
      <c r="G405" s="36">
        <f>IF(F404&gt;0,F405/F404-1,"")</f>
        <v/>
      </c>
      <c r="H405" s="36">
        <f>IF(G405="","",G405-$D$12)</f>
        <v/>
      </c>
    </row>
    <row r="406">
      <c r="B406" s="34" t="inlineStr">
        <is>
          <t>2023-03-29</t>
        </is>
      </c>
      <c r="C406" s="35" t="n">
        <v>428881.2047671552</v>
      </c>
      <c r="D406" s="36">
        <f>IF(C405&gt;0,C406/C405-1,"")</f>
        <v/>
      </c>
      <c r="E406" s="36">
        <f>IF(D406="","",D406-$C$12)</f>
        <v/>
      </c>
      <c r="F406" s="35" t="n">
        <v>390491.3662200762</v>
      </c>
      <c r="G406" s="36">
        <f>IF(F405&gt;0,F406/F405-1,"")</f>
        <v/>
      </c>
      <c r="H406" s="36">
        <f>IF(G406="","",G406-$D$12)</f>
        <v/>
      </c>
    </row>
    <row r="407">
      <c r="B407" s="34" t="inlineStr">
        <is>
          <t>2023-03-30</t>
        </is>
      </c>
      <c r="C407" s="35" t="n">
        <v>429010.0394252747</v>
      </c>
      <c r="D407" s="36">
        <f>IF(C406&gt;0,C407/C406-1,"")</f>
        <v/>
      </c>
      <c r="E407" s="36">
        <f>IF(D407="","",D407-$C$12)</f>
        <v/>
      </c>
      <c r="F407" s="35" t="n">
        <v>391067.3474723154</v>
      </c>
      <c r="G407" s="36">
        <f>IF(F406&gt;0,F407/F406-1,"")</f>
        <v/>
      </c>
      <c r="H407" s="36">
        <f>IF(G407="","",G407-$D$12)</f>
        <v/>
      </c>
    </row>
    <row r="408">
      <c r="B408" s="34" t="inlineStr">
        <is>
          <t>2023-03-31</t>
        </is>
      </c>
      <c r="C408" s="35" t="n">
        <v>430527.5051491849</v>
      </c>
      <c r="D408" s="36">
        <f>IF(C407&gt;0,C408/C407-1,"")</f>
        <v/>
      </c>
      <c r="E408" s="36">
        <f>IF(D408="","",D408-$C$12)</f>
        <v/>
      </c>
      <c r="F408" s="35" t="n">
        <v>392396.0239243266</v>
      </c>
      <c r="G408" s="36">
        <f>IF(F407&gt;0,F408/F407-1,"")</f>
        <v/>
      </c>
      <c r="H408" s="36">
        <f>IF(G408="","",G408-$D$12)</f>
        <v/>
      </c>
    </row>
    <row r="409">
      <c r="B409" s="34" t="inlineStr">
        <is>
          <t>2023-04-03</t>
        </is>
      </c>
      <c r="C409" s="35" t="n">
        <v>431713.6907137441</v>
      </c>
      <c r="D409" s="36">
        <f>IF(C408&gt;0,C409/C408-1,"")</f>
        <v/>
      </c>
      <c r="E409" s="36">
        <f>IF(D409="","",D409-$C$12)</f>
        <v/>
      </c>
      <c r="F409" s="35" t="n">
        <v>393110.8051450608</v>
      </c>
      <c r="G409" s="36">
        <f>IF(F408&gt;0,F409/F408-1,"")</f>
        <v/>
      </c>
      <c r="H409" s="36">
        <f>IF(G409="","",G409-$D$12)</f>
        <v/>
      </c>
    </row>
    <row r="410">
      <c r="B410" s="34" t="inlineStr">
        <is>
          <t>2023-04-04</t>
        </is>
      </c>
      <c r="C410" s="35" t="n">
        <v>430725.3633135757</v>
      </c>
      <c r="D410" s="36">
        <f>IF(C409&gt;0,C410/C409-1,"")</f>
        <v/>
      </c>
      <c r="E410" s="36">
        <f>IF(D410="","",D410-$C$12)</f>
        <v/>
      </c>
      <c r="F410" s="35" t="n">
        <v>392373.5305807512</v>
      </c>
      <c r="G410" s="36">
        <f>IF(F409&gt;0,F410/F409-1,"")</f>
        <v/>
      </c>
      <c r="H410" s="36">
        <f>IF(G410="","",G410-$D$12)</f>
        <v/>
      </c>
    </row>
    <row r="411">
      <c r="B411" s="34" t="inlineStr">
        <is>
          <t>2023-04-05</t>
        </is>
      </c>
      <c r="C411" s="35" t="n">
        <v>430826.7662043497</v>
      </c>
      <c r="D411" s="36">
        <f>IF(C410&gt;0,C411/C410-1,"")</f>
        <v/>
      </c>
      <c r="E411" s="36">
        <f>IF(D411="","",D411-$C$12)</f>
        <v/>
      </c>
      <c r="F411" s="35" t="n">
        <v>392597.0460150992</v>
      </c>
      <c r="G411" s="36">
        <f>IF(F410&gt;0,F411/F410-1,"")</f>
        <v/>
      </c>
      <c r="H411" s="36">
        <f>IF(G411="","",G411-$D$12)</f>
        <v/>
      </c>
    </row>
    <row r="412">
      <c r="B412" s="34" t="inlineStr">
        <is>
          <t>2023-04-06</t>
        </is>
      </c>
      <c r="C412" s="35" t="n">
        <v>433246.3880809476</v>
      </c>
      <c r="D412" s="36">
        <f>IF(C411&gt;0,C412/C411-1,"")</f>
        <v/>
      </c>
      <c r="E412" s="36">
        <f>IF(D412="","",D412-$C$12)</f>
        <v/>
      </c>
      <c r="F412" s="35" t="n">
        <v>394197.9854600132</v>
      </c>
      <c r="G412" s="36">
        <f>IF(F411&gt;0,F412/F411-1,"")</f>
        <v/>
      </c>
      <c r="H412" s="36">
        <f>IF(G412="","",G412-$D$12)</f>
        <v/>
      </c>
    </row>
    <row r="413">
      <c r="B413" s="34" t="inlineStr">
        <is>
          <t>2023-04-10</t>
        </is>
      </c>
      <c r="C413" s="35" t="n">
        <v>433360.7305344534</v>
      </c>
      <c r="D413" s="36">
        <f>IF(C412&gt;0,C413/C412-1,"")</f>
        <v/>
      </c>
      <c r="E413" s="36">
        <f>IF(D413="","",D413-$C$12)</f>
        <v/>
      </c>
      <c r="F413" s="35" t="n">
        <v>394385.5984249232</v>
      </c>
      <c r="G413" s="36">
        <f>IF(F412&gt;0,F413/F412-1,"")</f>
        <v/>
      </c>
      <c r="H413" s="36">
        <f>IF(G413="","",G413-$D$12)</f>
        <v/>
      </c>
    </row>
    <row r="414">
      <c r="B414" s="34" t="inlineStr">
        <is>
          <t>2023-04-11</t>
        </is>
      </c>
      <c r="C414" s="35" t="n">
        <v>434418.6929687727</v>
      </c>
      <c r="D414" s="36">
        <f>IF(C413&gt;0,C414/C413-1,"")</f>
        <v/>
      </c>
      <c r="E414" s="36">
        <f>IF(D414="","",D414-$C$12)</f>
        <v/>
      </c>
      <c r="F414" s="35" t="n">
        <v>395475.0087834562</v>
      </c>
      <c r="G414" s="36">
        <f>IF(F413&gt;0,F414/F413-1,"")</f>
        <v/>
      </c>
      <c r="H414" s="36">
        <f>IF(G414="","",G414-$D$12)</f>
        <v/>
      </c>
    </row>
    <row r="415">
      <c r="B415" s="34" t="inlineStr">
        <is>
          <t>2023-04-12</t>
        </is>
      </c>
      <c r="C415" s="35" t="n">
        <v>433194.8370483712</v>
      </c>
      <c r="D415" s="36">
        <f>IF(C414&gt;0,C415/C414-1,"")</f>
        <v/>
      </c>
      <c r="E415" s="36">
        <f>IF(D415="","",D415-$C$12)</f>
        <v/>
      </c>
      <c r="F415" s="35" t="n">
        <v>394596.0260474892</v>
      </c>
      <c r="G415" s="36">
        <f>IF(F414&gt;0,F415/F414-1,"")</f>
        <v/>
      </c>
      <c r="H415" s="36">
        <f>IF(G415="","",G415-$D$12)</f>
        <v/>
      </c>
    </row>
    <row r="416">
      <c r="B416" s="34" t="inlineStr">
        <is>
          <t>2023-04-13</t>
        </is>
      </c>
      <c r="C416" s="35" t="n">
        <v>433002.1243466761</v>
      </c>
      <c r="D416" s="36">
        <f>IF(C415&gt;0,C416/C415-1,"")</f>
        <v/>
      </c>
      <c r="E416" s="36">
        <f>IF(D416="","",D416-$C$12)</f>
        <v/>
      </c>
      <c r="F416" s="35" t="n">
        <v>394730.1816647482</v>
      </c>
      <c r="G416" s="36">
        <f>IF(F415&gt;0,F416/F415-1,"")</f>
        <v/>
      </c>
      <c r="H416" s="36">
        <f>IF(G416="","",G416-$D$12)</f>
        <v/>
      </c>
    </row>
    <row r="417">
      <c r="B417" s="34" t="inlineStr">
        <is>
          <t>2023-04-14</t>
        </is>
      </c>
      <c r="C417" s="35" t="n">
        <v>434105.5872822339</v>
      </c>
      <c r="D417" s="36">
        <f>IF(C416&gt;0,C417/C416-1,"")</f>
        <v/>
      </c>
      <c r="E417" s="36">
        <f>IF(D417="","",D417-$C$12)</f>
        <v/>
      </c>
      <c r="F417" s="35" t="n">
        <v>395515.7097312494</v>
      </c>
      <c r="G417" s="36">
        <f>IF(F416&gt;0,F417/F416-1,"")</f>
        <v/>
      </c>
      <c r="H417" s="36">
        <f>IF(G417="","",G417-$D$12)</f>
        <v/>
      </c>
    </row>
    <row r="418">
      <c r="B418" s="34" t="inlineStr">
        <is>
          <t>2023-04-17</t>
        </is>
      </c>
      <c r="C418" s="35" t="n">
        <v>434404.3872715301</v>
      </c>
      <c r="D418" s="36">
        <f>IF(C417&gt;0,C418/C417-1,"")</f>
        <v/>
      </c>
      <c r="E418" s="36">
        <f>IF(D418="","",D418-$C$12)</f>
        <v/>
      </c>
      <c r="F418" s="35" t="n">
        <v>395933.9644852662</v>
      </c>
      <c r="G418" s="36">
        <f>IF(F417&gt;0,F418/F417-1,"")</f>
        <v/>
      </c>
      <c r="H418" s="36">
        <f>IF(G418="","",G418-$D$12)</f>
        <v/>
      </c>
    </row>
    <row r="419">
      <c r="B419" s="34" t="inlineStr">
        <is>
          <t>2023-04-18</t>
        </is>
      </c>
      <c r="C419" s="35" t="n">
        <v>434525.0525705489</v>
      </c>
      <c r="D419" s="36">
        <f>IF(C418&gt;0,C419/C418-1,"")</f>
        <v/>
      </c>
      <c r="E419" s="36">
        <f>IF(D419="","",D419-$C$12)</f>
        <v/>
      </c>
      <c r="F419" s="35" t="n">
        <v>395881.7524344692</v>
      </c>
      <c r="G419" s="36">
        <f>IF(F418&gt;0,F419/F418-1,"")</f>
        <v/>
      </c>
      <c r="H419" s="36">
        <f>IF(G419="","",G419-$D$12)</f>
        <v/>
      </c>
    </row>
    <row r="420">
      <c r="B420" s="34" t="inlineStr">
        <is>
          <t>2023-04-19</t>
        </is>
      </c>
      <c r="C420" s="35" t="n">
        <v>434747.1322562155</v>
      </c>
      <c r="D420" s="36">
        <f>IF(C419&gt;0,C420/C419-1,"")</f>
        <v/>
      </c>
      <c r="E420" s="36">
        <f>IF(D420="","",D420-$C$12)</f>
        <v/>
      </c>
      <c r="F420" s="35" t="n">
        <v>396199.3026132101</v>
      </c>
      <c r="G420" s="36">
        <f>IF(F419&gt;0,F420/F419-1,"")</f>
        <v/>
      </c>
      <c r="H420" s="36">
        <f>IF(G420="","",G420-$D$12)</f>
        <v/>
      </c>
    </row>
    <row r="421">
      <c r="B421" s="34" t="inlineStr">
        <is>
          <t>2023-04-20</t>
        </is>
      </c>
      <c r="C421" s="35" t="n">
        <v>434447.8321982031</v>
      </c>
      <c r="D421" s="36">
        <f>IF(C420&gt;0,C421/C420-1,"")</f>
        <v/>
      </c>
      <c r="E421" s="36">
        <f>IF(D421="","",D421-$C$12)</f>
        <v/>
      </c>
      <c r="F421" s="35" t="n">
        <v>395847.7500950121</v>
      </c>
      <c r="G421" s="36">
        <f>IF(F420&gt;0,F421/F420-1,"")</f>
        <v/>
      </c>
      <c r="H421" s="36">
        <f>IF(G421="","",G421-$D$12)</f>
        <v/>
      </c>
    </row>
    <row r="422">
      <c r="B422" s="34" t="inlineStr">
        <is>
          <t>2023-04-21</t>
        </is>
      </c>
      <c r="C422" s="35" t="n">
        <v>435583.9434485043</v>
      </c>
      <c r="D422" s="36">
        <f>IF(C421&gt;0,C422/C421-1,"")</f>
        <v/>
      </c>
      <c r="E422" s="36">
        <f>IF(D422="","",D422-$C$12)</f>
        <v/>
      </c>
      <c r="F422" s="35" t="n">
        <v>396456.7260799847</v>
      </c>
      <c r="G422" s="36">
        <f>IF(F421&gt;0,F422/F421-1,"")</f>
        <v/>
      </c>
      <c r="H422" s="36">
        <f>IF(G422="","",G422-$D$12)</f>
        <v/>
      </c>
    </row>
    <row r="423">
      <c r="B423" s="34" t="inlineStr">
        <is>
          <t>2023-04-24</t>
        </is>
      </c>
      <c r="C423" s="35" t="n">
        <v>435230.4231534542</v>
      </c>
      <c r="D423" s="36">
        <f>IF(C422&gt;0,C423/C422-1,"")</f>
        <v/>
      </c>
      <c r="E423" s="36">
        <f>IF(D423="","",D423-$C$12)</f>
        <v/>
      </c>
      <c r="F423" s="35" t="n">
        <v>396222.6548851539</v>
      </c>
      <c r="G423" s="36">
        <f>IF(F422&gt;0,F423/F422-1,"")</f>
        <v/>
      </c>
      <c r="H423" s="36">
        <f>IF(G423="","",G423-$D$12)</f>
        <v/>
      </c>
    </row>
    <row r="424">
      <c r="B424" s="34" t="inlineStr">
        <is>
          <t>2023-04-25</t>
        </is>
      </c>
      <c r="C424" s="35" t="n">
        <v>434540.7286895565</v>
      </c>
      <c r="D424" s="36">
        <f>IF(C423&gt;0,C424/C423-1,"")</f>
        <v/>
      </c>
      <c r="E424" s="36">
        <f>IF(D424="","",D424-$C$12)</f>
        <v/>
      </c>
      <c r="F424" s="35" t="n">
        <v>395889.2527317665</v>
      </c>
      <c r="G424" s="36">
        <f>IF(F423&gt;0,F424/F423-1,"")</f>
        <v/>
      </c>
      <c r="H424" s="36">
        <f>IF(G424="","",G424-$D$12)</f>
        <v/>
      </c>
    </row>
    <row r="425">
      <c r="B425" s="34" t="inlineStr">
        <is>
          <t>2023-04-26</t>
        </is>
      </c>
      <c r="C425" s="35" t="n">
        <v>431773.1521498492</v>
      </c>
      <c r="D425" s="36">
        <f>IF(C424&gt;0,C425/C424-1,"")</f>
        <v/>
      </c>
      <c r="E425" s="36">
        <f>IF(D425="","",D425-$C$12)</f>
        <v/>
      </c>
      <c r="F425" s="35" t="n">
        <v>393522.9136942922</v>
      </c>
      <c r="G425" s="36">
        <f>IF(F424&gt;0,F425/F424-1,"")</f>
        <v/>
      </c>
      <c r="H425" s="36">
        <f>IF(G425="","",G425-$D$12)</f>
        <v/>
      </c>
    </row>
    <row r="426">
      <c r="B426" s="34" t="inlineStr">
        <is>
          <t>2023-04-27</t>
        </is>
      </c>
      <c r="C426" s="35" t="n">
        <v>432347.2758408496</v>
      </c>
      <c r="D426" s="36">
        <f>IF(C425&gt;0,C426/C425-1,"")</f>
        <v/>
      </c>
      <c r="E426" s="36">
        <f>IF(D426="","",D426-$C$12)</f>
        <v/>
      </c>
      <c r="F426" s="35" t="n">
        <v>394462.0644335427</v>
      </c>
      <c r="G426" s="36">
        <f>IF(F425&gt;0,F426/F425-1,"")</f>
        <v/>
      </c>
      <c r="H426" s="36">
        <f>IF(G426="","",G426-$D$12)</f>
        <v/>
      </c>
    </row>
    <row r="427">
      <c r="B427" s="34" t="inlineStr">
        <is>
          <t>2023-04-28</t>
        </is>
      </c>
      <c r="C427" s="35" t="n">
        <v>434253.9504326494</v>
      </c>
      <c r="D427" s="36">
        <f>IF(C426&gt;0,C427/C426-1,"")</f>
        <v/>
      </c>
      <c r="E427" s="36">
        <f>IF(D427="","",D427-$C$12)</f>
        <v/>
      </c>
      <c r="F427" s="35" t="n">
        <v>395692.6320110073</v>
      </c>
      <c r="G427" s="36">
        <f>IF(F426&gt;0,F427/F426-1,"")</f>
        <v/>
      </c>
      <c r="H427" s="36">
        <f>IF(G427="","",G427-$D$12)</f>
        <v/>
      </c>
    </row>
    <row r="428">
      <c r="B428" s="34" t="inlineStr">
        <is>
          <t>2023-05-01</t>
        </is>
      </c>
      <c r="C428" s="35" t="n">
        <v>434795.4828876763</v>
      </c>
      <c r="D428" s="36">
        <f>IF(C427&gt;0,C428/C427-1,"")</f>
        <v/>
      </c>
      <c r="E428" s="36">
        <f>IF(D428="","",D428-$C$12)</f>
        <v/>
      </c>
      <c r="F428" s="35" t="n">
        <v>396007.5430875242</v>
      </c>
      <c r="G428" s="36">
        <f>IF(F427&gt;0,F428/F427-1,"")</f>
        <v/>
      </c>
      <c r="H428" s="36">
        <f>IF(G428="","",G428-$D$12)</f>
        <v/>
      </c>
    </row>
    <row r="429">
      <c r="B429" s="34" t="inlineStr">
        <is>
          <t>2023-05-02</t>
        </is>
      </c>
      <c r="C429" s="35" t="n">
        <v>433060.3262410701</v>
      </c>
      <c r="D429" s="36">
        <f>IF(C428&gt;0,C429/C428-1,"")</f>
        <v/>
      </c>
      <c r="E429" s="36">
        <f>IF(D429="","",D429-$C$12)</f>
        <v/>
      </c>
      <c r="F429" s="35" t="n">
        <v>394874.9015290025</v>
      </c>
      <c r="G429" s="36">
        <f>IF(F428&gt;0,F429/F428-1,"")</f>
        <v/>
      </c>
      <c r="H429" s="36">
        <f>IF(G429="","",G429-$D$12)</f>
        <v/>
      </c>
    </row>
    <row r="430">
      <c r="B430" s="34" t="inlineStr">
        <is>
          <t>2023-05-03</t>
        </is>
      </c>
      <c r="C430" s="35" t="n">
        <v>432308.1211886797</v>
      </c>
      <c r="D430" s="36">
        <f>IF(C429&gt;0,C430/C429-1,"")</f>
        <v/>
      </c>
      <c r="E430" s="36">
        <f>IF(D430="","",D430-$C$12)</f>
        <v/>
      </c>
      <c r="F430" s="35" t="n">
        <v>394413.2427586018</v>
      </c>
      <c r="G430" s="36">
        <f>IF(F429&gt;0,F430/F429-1,"")</f>
        <v/>
      </c>
      <c r="H430" s="36">
        <f>IF(G430="","",G430-$D$12)</f>
        <v/>
      </c>
    </row>
    <row r="431">
      <c r="B431" s="34" t="inlineStr">
        <is>
          <t>2023-05-04</t>
        </is>
      </c>
      <c r="C431" s="35" t="n">
        <v>430395.8851078236</v>
      </c>
      <c r="D431" s="36">
        <f>IF(C430&gt;0,C431/C430-1,"")</f>
        <v/>
      </c>
      <c r="E431" s="36">
        <f>IF(D431="","",D431-$C$12)</f>
        <v/>
      </c>
      <c r="F431" s="35" t="n">
        <v>393163.3309511653</v>
      </c>
      <c r="G431" s="36">
        <f>IF(F430&gt;0,F431/F430-1,"")</f>
        <v/>
      </c>
      <c r="H431" s="36">
        <f>IF(G431="","",G431-$D$12)</f>
        <v/>
      </c>
    </row>
    <row r="432">
      <c r="B432" s="34" t="inlineStr">
        <is>
          <t>2023-05-05</t>
        </is>
      </c>
      <c r="C432" s="35" t="n">
        <v>432876.6317744578</v>
      </c>
      <c r="D432" s="36">
        <f>IF(C431&gt;0,C432/C431-1,"")</f>
        <v/>
      </c>
      <c r="E432" s="36">
        <f>IF(D432="","",D432-$C$12)</f>
        <v/>
      </c>
      <c r="F432" s="35" t="n">
        <v>395003.9280194912</v>
      </c>
      <c r="G432" s="36">
        <f>IF(F431&gt;0,F432/F431-1,"")</f>
        <v/>
      </c>
      <c r="H432" s="36">
        <f>IF(G432="","",G432-$D$12)</f>
        <v/>
      </c>
    </row>
    <row r="433">
      <c r="B433" s="34" t="inlineStr">
        <is>
          <t>2023-05-08</t>
        </is>
      </c>
      <c r="C433" s="35" t="n">
        <v>435364.9927644736</v>
      </c>
      <c r="D433" s="36">
        <f>IF(C432&gt;0,C433/C432-1,"")</f>
        <v/>
      </c>
      <c r="E433" s="36">
        <f>IF(D433="","",D433-$C$12)</f>
        <v/>
      </c>
      <c r="F433" s="35" t="n">
        <v>397225.4751535595</v>
      </c>
      <c r="G433" s="36">
        <f>IF(F432&gt;0,F433/F432-1,"")</f>
        <v/>
      </c>
      <c r="H433" s="36">
        <f>IF(G433="","",G433-$D$12)</f>
        <v/>
      </c>
    </row>
    <row r="434">
      <c r="B434" s="34" t="inlineStr">
        <is>
          <t>2023-05-09</t>
        </is>
      </c>
      <c r="C434" s="35" t="n">
        <v>434787.4710781223</v>
      </c>
      <c r="D434" s="36">
        <f>IF(C433&gt;0,C434/C433-1,"")</f>
        <v/>
      </c>
      <c r="E434" s="36">
        <f>IF(D434="","",D434-$C$12)</f>
        <v/>
      </c>
      <c r="F434" s="35" t="n">
        <v>397163.4485842654</v>
      </c>
      <c r="G434" s="36">
        <f>IF(F433&gt;0,F434/F433-1,"")</f>
        <v/>
      </c>
      <c r="H434" s="36">
        <f>IF(G434="","",G434-$D$12)</f>
        <v/>
      </c>
    </row>
    <row r="435">
      <c r="B435" s="34" t="inlineStr">
        <is>
          <t>2023-05-10</t>
        </is>
      </c>
      <c r="C435" s="35" t="n">
        <v>432843.0888709898</v>
      </c>
      <c r="D435" s="36">
        <f>IF(C434&gt;0,C435/C434-1,"")</f>
        <v/>
      </c>
      <c r="E435" s="36">
        <f>IF(D435="","",D435-$C$12)</f>
        <v/>
      </c>
      <c r="F435" s="35" t="n">
        <v>395416.351299949</v>
      </c>
      <c r="G435" s="36">
        <f>IF(F434&gt;0,F435/F434-1,"")</f>
        <v/>
      </c>
      <c r="H435" s="36">
        <f>IF(G435="","",G435-$D$12)</f>
        <v/>
      </c>
    </row>
    <row r="436">
      <c r="B436" s="34" t="inlineStr">
        <is>
          <t>2023-05-11</t>
        </is>
      </c>
      <c r="C436" s="35" t="n">
        <v>433013.9775776307</v>
      </c>
      <c r="D436" s="36">
        <f>IF(C435&gt;0,C436/C435-1,"")</f>
        <v/>
      </c>
      <c r="E436" s="36">
        <f>IF(D436="","",D436-$C$12)</f>
        <v/>
      </c>
      <c r="F436" s="35" t="n">
        <v>395091.0789995834</v>
      </c>
      <c r="G436" s="36">
        <f>IF(F435&gt;0,F436/F435-1,"")</f>
        <v/>
      </c>
      <c r="H436" s="36">
        <f>IF(G436="","",G436-$D$12)</f>
        <v/>
      </c>
    </row>
    <row r="437">
      <c r="B437" s="34" t="inlineStr">
        <is>
          <t>2023-05-12</t>
        </is>
      </c>
      <c r="C437" s="35" t="n">
        <v>433401.0744137501</v>
      </c>
      <c r="D437" s="36">
        <f>IF(C436&gt;0,C437/C436-1,"")</f>
        <v/>
      </c>
      <c r="E437" s="36">
        <f>IF(D437="","",D437-$C$12)</f>
        <v/>
      </c>
      <c r="F437" s="35" t="n">
        <v>395205.617318672</v>
      </c>
      <c r="G437" s="36">
        <f>IF(F436&gt;0,F437/F436-1,"")</f>
        <v/>
      </c>
      <c r="H437" s="36">
        <f>IF(G437="","",G437-$D$12)</f>
        <v/>
      </c>
    </row>
    <row r="438">
      <c r="B438" s="34" t="inlineStr">
        <is>
          <t>2023-05-15</t>
        </is>
      </c>
      <c r="C438" s="35" t="n">
        <v>433966.8095882221</v>
      </c>
      <c r="D438" s="36">
        <f>IF(C437&gt;0,C438/C437-1,"")</f>
        <v/>
      </c>
      <c r="E438" s="36">
        <f>IF(D438="","",D438-$C$12)</f>
        <v/>
      </c>
      <c r="F438" s="35" t="n">
        <v>395738.7661333561</v>
      </c>
      <c r="G438" s="36">
        <f>IF(F437&gt;0,F438/F437-1,"")</f>
        <v/>
      </c>
      <c r="H438" s="36">
        <f>IF(G438="","",G438-$D$12)</f>
        <v/>
      </c>
    </row>
    <row r="439">
      <c r="B439" s="34" t="inlineStr">
        <is>
          <t>2023-05-16</t>
        </is>
      </c>
      <c r="C439" s="35" t="n">
        <v>432689.4935143427</v>
      </c>
      <c r="D439" s="36">
        <f>IF(C438&gt;0,C439/C438-1,"")</f>
        <v/>
      </c>
      <c r="E439" s="36">
        <f>IF(D439="","",D439-$C$12)</f>
        <v/>
      </c>
      <c r="F439" s="35" t="n">
        <v>394547.0553045745</v>
      </c>
      <c r="G439" s="36">
        <f>IF(F438&gt;0,F439/F438-1,"")</f>
        <v/>
      </c>
      <c r="H439" s="36">
        <f>IF(G439="","",G439-$D$12)</f>
        <v/>
      </c>
    </row>
    <row r="440">
      <c r="B440" s="34" t="inlineStr">
        <is>
          <t>2023-05-17</t>
        </is>
      </c>
      <c r="C440" s="35" t="n">
        <v>431652.6147348662</v>
      </c>
      <c r="D440" s="36">
        <f>IF(C439&gt;0,C440/C439-1,"")</f>
        <v/>
      </c>
      <c r="E440" s="36">
        <f>IF(D440="","",D440-$C$12)</f>
        <v/>
      </c>
      <c r="F440" s="35" t="n">
        <v>393848.4575339974</v>
      </c>
      <c r="G440" s="36">
        <f>IF(F439&gt;0,F440/F439-1,"")</f>
        <v/>
      </c>
      <c r="H440" s="36">
        <f>IF(G440="","",G440-$D$12)</f>
        <v/>
      </c>
    </row>
    <row r="441">
      <c r="B441" s="34" t="inlineStr">
        <is>
          <t>2023-05-18</t>
        </is>
      </c>
      <c r="C441" s="35" t="n">
        <v>432459.0189920245</v>
      </c>
      <c r="D441" s="36">
        <f>IF(C440&gt;0,C441/C440-1,"")</f>
        <v/>
      </c>
      <c r="E441" s="36">
        <f>IF(D441="","",D441-$C$12)</f>
        <v/>
      </c>
      <c r="F441" s="35" t="n">
        <v>394305.3026884428</v>
      </c>
      <c r="G441" s="36">
        <f>IF(F440&gt;0,F441/F440-1,"")</f>
        <v/>
      </c>
      <c r="H441" s="36">
        <f>IF(G441="","",G441-$D$12)</f>
        <v/>
      </c>
    </row>
    <row r="442">
      <c r="B442" s="34" t="inlineStr">
        <is>
          <t>2023-05-19</t>
        </is>
      </c>
      <c r="C442" s="35" t="n">
        <v>434218.8836053677</v>
      </c>
      <c r="D442" s="36">
        <f>IF(C441&gt;0,C442/C441-1,"")</f>
        <v/>
      </c>
      <c r="E442" s="36">
        <f>IF(D442="","",D442-$C$12)</f>
        <v/>
      </c>
      <c r="F442" s="35" t="n">
        <v>396055.9427296371</v>
      </c>
      <c r="G442" s="36">
        <f>IF(F441&gt;0,F442/F441-1,"")</f>
        <v/>
      </c>
      <c r="H442" s="36">
        <f>IF(G442="","",G442-$D$12)</f>
        <v/>
      </c>
    </row>
    <row r="443">
      <c r="B443" s="34" t="inlineStr">
        <is>
          <t>2023-05-22</t>
        </is>
      </c>
      <c r="C443" s="35" t="n">
        <v>433977.8910098421</v>
      </c>
      <c r="D443" s="36">
        <f>IF(C442&gt;0,C443/C442-1,"")</f>
        <v/>
      </c>
      <c r="E443" s="36">
        <f>IF(D443="","",D443-$C$12)</f>
        <v/>
      </c>
      <c r="F443" s="35" t="n">
        <v>395689.9150938485</v>
      </c>
      <c r="G443" s="36">
        <f>IF(F442&gt;0,F443/F442-1,"")</f>
        <v/>
      </c>
      <c r="H443" s="36">
        <f>IF(G443="","",G443-$D$12)</f>
        <v/>
      </c>
    </row>
    <row r="444">
      <c r="B444" s="34" t="inlineStr">
        <is>
          <t>2023-05-23</t>
        </is>
      </c>
      <c r="C444" s="35" t="n">
        <v>433250.9661926596</v>
      </c>
      <c r="D444" s="36">
        <f>IF(C443&gt;0,C444/C443-1,"")</f>
        <v/>
      </c>
      <c r="E444" s="36">
        <f>IF(D444="","",D444-$C$12)</f>
        <v/>
      </c>
      <c r="F444" s="35" t="n">
        <v>395298.4671221645</v>
      </c>
      <c r="G444" s="36">
        <f>IF(F443&gt;0,F444/F443-1,"")</f>
        <v/>
      </c>
      <c r="H444" s="36">
        <f>IF(G444="","",G444-$D$12)</f>
        <v/>
      </c>
    </row>
    <row r="445">
      <c r="B445" s="34" t="inlineStr">
        <is>
          <t>2023-05-24</t>
        </is>
      </c>
      <c r="C445" s="35" t="n">
        <v>431196.2992842842</v>
      </c>
      <c r="D445" s="36">
        <f>IF(C444&gt;0,C445/C444-1,"")</f>
        <v/>
      </c>
      <c r="E445" s="36">
        <f>IF(D445="","",D445-$C$12)</f>
        <v/>
      </c>
      <c r="F445" s="35" t="n">
        <v>393327.8823150545</v>
      </c>
      <c r="G445" s="36">
        <f>IF(F444&gt;0,F445/F444-1,"")</f>
        <v/>
      </c>
      <c r="H445" s="36">
        <f>IF(G445="","",G445-$D$12)</f>
        <v/>
      </c>
    </row>
    <row r="446">
      <c r="B446" s="34" t="inlineStr">
        <is>
          <t>2023-05-25</t>
        </is>
      </c>
      <c r="C446" s="35" t="n">
        <v>432616.4050822215</v>
      </c>
      <c r="D446" s="36">
        <f>IF(C445&gt;0,C446/C445-1,"")</f>
        <v/>
      </c>
      <c r="E446" s="36">
        <f>IF(D446="","",D446-$C$12)</f>
        <v/>
      </c>
      <c r="F446" s="35" t="n">
        <v>393531.1364424022</v>
      </c>
      <c r="G446" s="36">
        <f>IF(F445&gt;0,F446/F445-1,"")</f>
        <v/>
      </c>
      <c r="H446" s="36">
        <f>IF(G446="","",G446-$D$12)</f>
        <v/>
      </c>
    </row>
    <row r="447">
      <c r="B447" s="34" t="inlineStr">
        <is>
          <t>2023-05-26</t>
        </is>
      </c>
      <c r="C447" s="35" t="n">
        <v>434967.5918556764</v>
      </c>
      <c r="D447" s="36">
        <f>IF(C446&gt;0,C447/C446-1,"")</f>
        <v/>
      </c>
      <c r="E447" s="36">
        <f>IF(D447="","",D447-$C$12)</f>
        <v/>
      </c>
      <c r="F447" s="35" t="n">
        <v>395353.6680552124</v>
      </c>
      <c r="G447" s="36">
        <f>IF(F446&gt;0,F447/F446-1,"")</f>
        <v/>
      </c>
      <c r="H447" s="36">
        <f>IF(G447="","",G447-$D$12)</f>
        <v/>
      </c>
    </row>
    <row r="448">
      <c r="B448" s="34" t="inlineStr">
        <is>
          <t>2023-05-29</t>
        </is>
      </c>
      <c r="C448" s="35" t="n">
        <v>434843.8312444969</v>
      </c>
      <c r="D448" s="36">
        <f>IF(C447&gt;0,C448/C447-1,"")</f>
        <v/>
      </c>
      <c r="E448" s="36">
        <f>IF(D448="","",D448-$C$12)</f>
        <v/>
      </c>
      <c r="F448" s="35" t="n">
        <v>395540.9904617186</v>
      </c>
      <c r="G448" s="36">
        <f>IF(F447&gt;0,F448/F447-1,"")</f>
        <v/>
      </c>
      <c r="H448" s="36">
        <f>IF(G448="","",G448-$D$12)</f>
        <v/>
      </c>
    </row>
    <row r="449">
      <c r="B449" s="34" t="inlineStr">
        <is>
          <t>2023-05-30</t>
        </is>
      </c>
      <c r="C449" s="35" t="n">
        <v>433241.376299888</v>
      </c>
      <c r="D449" s="36">
        <f>IF(C448&gt;0,C449/C448-1,"")</f>
        <v/>
      </c>
      <c r="E449" s="36">
        <f>IF(D449="","",D449-$C$12)</f>
        <v/>
      </c>
      <c r="F449" s="35" t="n">
        <v>394171.0072480072</v>
      </c>
      <c r="G449" s="36">
        <f>IF(F448&gt;0,F449/F448-1,"")</f>
        <v/>
      </c>
      <c r="H449" s="36">
        <f>IF(G449="","",G449-$D$12)</f>
        <v/>
      </c>
    </row>
    <row r="450">
      <c r="B450" s="34" t="inlineStr">
        <is>
          <t>2023-05-31</t>
        </is>
      </c>
      <c r="C450" s="35" t="n">
        <v>431573.1771428119</v>
      </c>
      <c r="D450" s="36">
        <f>IF(C449&gt;0,C450/C449-1,"")</f>
        <v/>
      </c>
      <c r="E450" s="36">
        <f>IF(D450="","",D450-$C$12)</f>
        <v/>
      </c>
      <c r="F450" s="35" t="n">
        <v>392980.4147976454</v>
      </c>
      <c r="G450" s="36">
        <f>IF(F449&gt;0,F450/F449-1,"")</f>
        <v/>
      </c>
      <c r="H450" s="36">
        <f>IF(G450="","",G450-$D$12)</f>
        <v/>
      </c>
    </row>
    <row r="451">
      <c r="B451" s="34" t="inlineStr">
        <is>
          <t>2023-06-01</t>
        </is>
      </c>
      <c r="C451" s="35" t="n">
        <v>433407.9227042837</v>
      </c>
      <c r="D451" s="36">
        <f>IF(C450&gt;0,C451/C450-1,"")</f>
        <v/>
      </c>
      <c r="E451" s="36">
        <f>IF(D451="","",D451-$C$12)</f>
        <v/>
      </c>
      <c r="F451" s="35" t="n">
        <v>394664.7326855775</v>
      </c>
      <c r="G451" s="36">
        <f>IF(F450&gt;0,F451/F450-1,"")</f>
        <v/>
      </c>
      <c r="H451" s="36">
        <f>IF(G451="","",G451-$D$12)</f>
        <v/>
      </c>
    </row>
    <row r="452">
      <c r="B452" s="34" t="inlineStr">
        <is>
          <t>2023-06-02</t>
        </is>
      </c>
      <c r="C452" s="35" t="n">
        <v>435470.3278240883</v>
      </c>
      <c r="D452" s="36">
        <f>IF(C451&gt;0,C452/C451-1,"")</f>
        <v/>
      </c>
      <c r="E452" s="36">
        <f>IF(D452="","",D452-$C$12)</f>
        <v/>
      </c>
      <c r="F452" s="35" t="n">
        <v>396909.8431057782</v>
      </c>
      <c r="G452" s="36">
        <f>IF(F451&gt;0,F452/F451-1,"")</f>
        <v/>
      </c>
      <c r="H452" s="36">
        <f>IF(G452="","",G452-$D$12)</f>
        <v/>
      </c>
    </row>
    <row r="453">
      <c r="B453" s="34" t="inlineStr">
        <is>
          <t>2023-06-05</t>
        </is>
      </c>
      <c r="C453" s="35" t="n">
        <v>434507.3399802855</v>
      </c>
      <c r="D453" s="36">
        <f>IF(C452&gt;0,C453/C452-1,"")</f>
        <v/>
      </c>
      <c r="E453" s="36">
        <f>IF(D453="","",D453-$C$12)</f>
        <v/>
      </c>
      <c r="F453" s="35" t="n">
        <v>395977.9926001019</v>
      </c>
      <c r="G453" s="36">
        <f>IF(F452&gt;0,F453/F452-1,"")</f>
        <v/>
      </c>
      <c r="H453" s="36">
        <f>IF(G453="","",G453-$D$12)</f>
        <v/>
      </c>
    </row>
    <row r="454">
      <c r="B454" s="34" t="inlineStr">
        <is>
          <t>2023-06-06</t>
        </is>
      </c>
      <c r="C454" s="35" t="n">
        <v>435919.8758603696</v>
      </c>
      <c r="D454" s="36">
        <f>IF(C453&gt;0,C454/C453-1,"")</f>
        <v/>
      </c>
      <c r="E454" s="36">
        <f>IF(D454="","",D454-$C$12)</f>
        <v/>
      </c>
      <c r="F454" s="35" t="n">
        <v>396908.0626798585</v>
      </c>
      <c r="G454" s="36">
        <f>IF(F453&gt;0,F454/F453-1,"")</f>
        <v/>
      </c>
      <c r="H454" s="36">
        <f>IF(G454="","",G454-$D$12)</f>
        <v/>
      </c>
    </row>
    <row r="455">
      <c r="B455" s="34" t="inlineStr">
        <is>
          <t>2023-06-07</t>
        </is>
      </c>
      <c r="C455" s="35" t="n">
        <v>433763.011239653</v>
      </c>
      <c r="D455" s="36">
        <f>IF(C454&gt;0,C455/C454-1,"")</f>
        <v/>
      </c>
      <c r="E455" s="36">
        <f>IF(D455="","",D455-$C$12)</f>
        <v/>
      </c>
      <c r="F455" s="35" t="n">
        <v>395533.5312944619</v>
      </c>
      <c r="G455" s="36">
        <f>IF(F454&gt;0,F455/F454-1,"")</f>
        <v/>
      </c>
      <c r="H455" s="36">
        <f>IF(G455="","",G455-$D$12)</f>
        <v/>
      </c>
    </row>
    <row r="456">
      <c r="B456" s="34" t="inlineStr">
        <is>
          <t>2023-06-08</t>
        </is>
      </c>
      <c r="C456" s="35" t="n">
        <v>433014.2157455324</v>
      </c>
      <c r="D456" s="36">
        <f>IF(C455&gt;0,C456/C455-1,"")</f>
        <v/>
      </c>
      <c r="E456" s="36">
        <f>IF(D456="","",D456-$C$12)</f>
        <v/>
      </c>
      <c r="F456" s="35" t="n">
        <v>394832.0852903893</v>
      </c>
      <c r="G456" s="36">
        <f>IF(F455&gt;0,F456/F455-1,"")</f>
        <v/>
      </c>
      <c r="H456" s="36">
        <f>IF(G456="","",G456-$D$12)</f>
        <v/>
      </c>
    </row>
    <row r="457">
      <c r="B457" s="34" t="inlineStr">
        <is>
          <t>2023-06-09</t>
        </is>
      </c>
      <c r="C457" s="35" t="n">
        <v>432781.3375757575</v>
      </c>
      <c r="D457" s="36">
        <f>IF(C456&gt;0,C457/C456-1,"")</f>
        <v/>
      </c>
      <c r="E457" s="36">
        <f>IF(D457="","",D457-$C$12)</f>
        <v/>
      </c>
      <c r="F457" s="35" t="n">
        <v>394530.3322542508</v>
      </c>
      <c r="G457" s="36">
        <f>IF(F456&gt;0,F457/F456-1,"")</f>
        <v/>
      </c>
      <c r="H457" s="36">
        <f>IF(G457="","",G457-$D$12)</f>
        <v/>
      </c>
    </row>
    <row r="458">
      <c r="B458" s="34" t="inlineStr">
        <is>
          <t>2023-06-12</t>
        </is>
      </c>
      <c r="C458" s="35" t="n">
        <v>434392.7388598067</v>
      </c>
      <c r="D458" s="36">
        <f>IF(C457&gt;0,C458/C457-1,"")</f>
        <v/>
      </c>
      <c r="E458" s="36">
        <f>IF(D458="","",D458-$C$12)</f>
        <v/>
      </c>
      <c r="F458" s="35" t="n">
        <v>395804.2416591422</v>
      </c>
      <c r="G458" s="36">
        <f>IF(F457&gt;0,F458/F457-1,"")</f>
        <v/>
      </c>
      <c r="H458" s="36">
        <f>IF(G458="","",G458-$D$12)</f>
        <v/>
      </c>
    </row>
    <row r="459">
      <c r="B459" s="34" t="inlineStr">
        <is>
          <t>2023-06-13</t>
        </is>
      </c>
      <c r="C459" s="35" t="n">
        <v>435373.2050703128</v>
      </c>
      <c r="D459" s="36">
        <f>IF(C458&gt;0,C459/C458-1,"")</f>
        <v/>
      </c>
      <c r="E459" s="36">
        <f>IF(D459="","",D459-$C$12)</f>
        <v/>
      </c>
      <c r="F459" s="35" t="n">
        <v>396577.3711486144</v>
      </c>
      <c r="G459" s="36">
        <f>IF(F458&gt;0,F459/F458-1,"")</f>
        <v/>
      </c>
      <c r="H459" s="36">
        <f>IF(G459="","",G459-$D$12)</f>
        <v/>
      </c>
    </row>
    <row r="460">
      <c r="B460" s="34" t="inlineStr">
        <is>
          <t>2023-06-14</t>
        </is>
      </c>
      <c r="C460" s="35" t="n">
        <v>435419.6718410744</v>
      </c>
      <c r="D460" s="36">
        <f>IF(C459&gt;0,C460/C459-1,"")</f>
        <v/>
      </c>
      <c r="E460" s="36">
        <f>IF(D460="","",D460-$C$12)</f>
        <v/>
      </c>
      <c r="F460" s="35" t="n">
        <v>396161.5524418381</v>
      </c>
      <c r="G460" s="36">
        <f>IF(F459&gt;0,F460/F459-1,"")</f>
        <v/>
      </c>
      <c r="H460" s="36">
        <f>IF(G460="","",G460-$D$12)</f>
        <v/>
      </c>
    </row>
    <row r="461">
      <c r="B461" s="34" t="inlineStr">
        <is>
          <t>2023-06-15</t>
        </is>
      </c>
      <c r="C461" s="35" t="n">
        <v>435885.3021732388</v>
      </c>
      <c r="D461" s="36">
        <f>IF(C460&gt;0,C461/C460-1,"")</f>
        <v/>
      </c>
      <c r="E461" s="36">
        <f>IF(D461="","",D461-$C$12)</f>
        <v/>
      </c>
      <c r="F461" s="35" t="n">
        <v>396523.9397691241</v>
      </c>
      <c r="G461" s="36">
        <f>IF(F460&gt;0,F461/F460-1,"")</f>
        <v/>
      </c>
      <c r="H461" s="36">
        <f>IF(G461="","",G461-$D$12)</f>
        <v/>
      </c>
    </row>
    <row r="462">
      <c r="B462" s="34" t="inlineStr">
        <is>
          <t>2023-06-16</t>
        </is>
      </c>
      <c r="C462" s="35" t="n">
        <v>436632.325879671</v>
      </c>
      <c r="D462" s="36">
        <f>IF(C461&gt;0,C462/C461-1,"")</f>
        <v/>
      </c>
      <c r="E462" s="36">
        <f>IF(D462="","",D462-$C$12)</f>
        <v/>
      </c>
      <c r="F462" s="35" t="n">
        <v>397205.0626300379</v>
      </c>
      <c r="G462" s="36">
        <f>IF(F461&gt;0,F462/F461-1,"")</f>
        <v/>
      </c>
      <c r="H462" s="36">
        <f>IF(G462="","",G462-$D$12)</f>
        <v/>
      </c>
    </row>
    <row r="463">
      <c r="B463" s="34" t="inlineStr">
        <is>
          <t>2023-06-19</t>
        </is>
      </c>
      <c r="C463" s="35" t="n">
        <v>434938.8305928539</v>
      </c>
      <c r="D463" s="36">
        <f>IF(C462&gt;0,C463/C462-1,"")</f>
        <v/>
      </c>
      <c r="E463" s="36">
        <f>IF(D463="","",D463-$C$12)</f>
        <v/>
      </c>
      <c r="F463" s="35" t="n">
        <v>395910.8144774193</v>
      </c>
      <c r="G463" s="36">
        <f>IF(F462&gt;0,F463/F462-1,"")</f>
        <v/>
      </c>
      <c r="H463" s="36">
        <f>IF(G463="","",G463-$D$12)</f>
        <v/>
      </c>
    </row>
    <row r="464">
      <c r="B464" s="34" t="inlineStr">
        <is>
          <t>2023-06-20</t>
        </is>
      </c>
      <c r="C464" s="35" t="n">
        <v>434792.0012888042</v>
      </c>
      <c r="D464" s="36">
        <f>IF(C463&gt;0,C464/C463-1,"")</f>
        <v/>
      </c>
      <c r="E464" s="36">
        <f>IF(D464="","",D464-$C$12)</f>
        <v/>
      </c>
      <c r="F464" s="35" t="n">
        <v>395407.0162679473</v>
      </c>
      <c r="G464" s="36">
        <f>IF(F463&gt;0,F464/F463-1,"")</f>
        <v/>
      </c>
      <c r="H464" s="36">
        <f>IF(G464="","",G464-$D$12)</f>
        <v/>
      </c>
    </row>
    <row r="465">
      <c r="B465" s="34" t="inlineStr">
        <is>
          <t>2023-06-21</t>
        </is>
      </c>
      <c r="C465" s="35" t="n">
        <v>434106.9326833015</v>
      </c>
      <c r="D465" s="36">
        <f>IF(C464&gt;0,C465/C464-1,"")</f>
        <v/>
      </c>
      <c r="E465" s="36">
        <f>IF(D465="","",D465-$C$12)</f>
        <v/>
      </c>
      <c r="F465" s="35" t="n">
        <v>394817.4266263493</v>
      </c>
      <c r="G465" s="36">
        <f>IF(F464&gt;0,F465/F464-1,"")</f>
        <v/>
      </c>
      <c r="H465" s="36">
        <f>IF(G465="","",G465-$D$12)</f>
        <v/>
      </c>
    </row>
    <row r="466">
      <c r="B466" s="34" t="inlineStr">
        <is>
          <t>2023-06-22</t>
        </is>
      </c>
      <c r="C466" s="35" t="n">
        <v>433593.9873782239</v>
      </c>
      <c r="D466" s="36">
        <f>IF(C465&gt;0,C466/C465-1,"")</f>
        <v/>
      </c>
      <c r="E466" s="36">
        <f>IF(D466="","",D466-$C$12)</f>
        <v/>
      </c>
      <c r="F466" s="35" t="n">
        <v>394483.8051937525</v>
      </c>
      <c r="G466" s="36">
        <f>IF(F465&gt;0,F466/F465-1,"")</f>
        <v/>
      </c>
      <c r="H466" s="36">
        <f>IF(G466="","",G466-$D$12)</f>
        <v/>
      </c>
    </row>
    <row r="467">
      <c r="B467" s="34" t="inlineStr">
        <is>
          <t>2023-06-23</t>
        </is>
      </c>
      <c r="C467" s="35" t="n">
        <v>433799.7920375699</v>
      </c>
      <c r="D467" s="36">
        <f>IF(C466&gt;0,C467/C466-1,"")</f>
        <v/>
      </c>
      <c r="E467" s="36">
        <f>IF(D467="","",D467-$C$12)</f>
        <v/>
      </c>
      <c r="F467" s="35" t="n">
        <v>394534.9171366875</v>
      </c>
      <c r="G467" s="36">
        <f>IF(F466&gt;0,F467/F466-1,"")</f>
        <v/>
      </c>
      <c r="H467" s="36">
        <f>IF(G467="","",G467-$D$12)</f>
        <v/>
      </c>
    </row>
    <row r="468">
      <c r="B468" s="34" t="inlineStr">
        <is>
          <t>2023-06-26</t>
        </is>
      </c>
      <c r="C468" s="35" t="n">
        <v>431323.718255636</v>
      </c>
      <c r="D468" s="36">
        <f>IF(C467&gt;0,C468/C467-1,"")</f>
        <v/>
      </c>
      <c r="E468" s="36">
        <f>IF(D468="","",D468-$C$12)</f>
        <v/>
      </c>
      <c r="F468" s="35" t="n">
        <v>392517.1402516516</v>
      </c>
      <c r="G468" s="36">
        <f>IF(F467&gt;0,F468/F467-1,"")</f>
        <v/>
      </c>
      <c r="H468" s="36">
        <f>IF(G468="","",G468-$D$12)</f>
        <v/>
      </c>
    </row>
    <row r="469">
      <c r="B469" s="34" t="inlineStr">
        <is>
          <t>2023-06-27</t>
        </is>
      </c>
      <c r="C469" s="35" t="n">
        <v>431583.3363106572</v>
      </c>
      <c r="D469" s="36">
        <f>IF(C468&gt;0,C469/C468-1,"")</f>
        <v/>
      </c>
      <c r="E469" s="36">
        <f>IF(D469="","",D469-$C$12)</f>
        <v/>
      </c>
      <c r="F469" s="35" t="n">
        <v>392738.5938958013</v>
      </c>
      <c r="G469" s="36">
        <f>IF(F468&gt;0,F469/F468-1,"")</f>
        <v/>
      </c>
      <c r="H469" s="36">
        <f>IF(G469="","",G469-$D$12)</f>
        <v/>
      </c>
    </row>
    <row r="470">
      <c r="B470" s="34" t="inlineStr">
        <is>
          <t>2023-06-28</t>
        </is>
      </c>
      <c r="C470" s="35" t="n">
        <v>431901.2074367249</v>
      </c>
      <c r="D470" s="36">
        <f>IF(C469&gt;0,C470/C469-1,"")</f>
        <v/>
      </c>
      <c r="E470" s="36">
        <f>IF(D470="","",D470-$C$12)</f>
        <v/>
      </c>
      <c r="F470" s="35" t="n">
        <v>393360.9607131795</v>
      </c>
      <c r="G470" s="36">
        <f>IF(F469&gt;0,F470/F469-1,"")</f>
        <v/>
      </c>
      <c r="H470" s="36">
        <f>IF(G470="","",G470-$D$12)</f>
        <v/>
      </c>
    </row>
    <row r="471">
      <c r="B471" s="34" t="inlineStr">
        <is>
          <t>2023-06-29</t>
        </is>
      </c>
      <c r="C471" s="35" t="n">
        <v>431828.3696603727</v>
      </c>
      <c r="D471" s="36">
        <f>IF(C470&gt;0,C471/C470-1,"")</f>
        <v/>
      </c>
      <c r="E471" s="36">
        <f>IF(D471="","",D471-$C$12)</f>
        <v/>
      </c>
      <c r="F471" s="35" t="n">
        <v>393211.522334415</v>
      </c>
      <c r="G471" s="36">
        <f>IF(F470&gt;0,F471/F470-1,"")</f>
        <v/>
      </c>
      <c r="H471" s="36">
        <f>IF(G471="","",G471-$D$12)</f>
        <v/>
      </c>
    </row>
    <row r="472">
      <c r="B472" s="34" t="inlineStr">
        <is>
          <t>2023-06-30</t>
        </is>
      </c>
      <c r="C472" s="35" t="n">
        <v>434441.1441114087</v>
      </c>
      <c r="D472" s="36">
        <f>IF(C471&gt;0,C472/C471-1,"")</f>
        <v/>
      </c>
      <c r="E472" s="36">
        <f>IF(D472="","",D472-$C$12)</f>
        <v/>
      </c>
      <c r="F472" s="35" t="n">
        <v>395122.1169178517</v>
      </c>
      <c r="G472" s="36">
        <f>IF(F471&gt;0,F472/F471-1,"")</f>
        <v/>
      </c>
      <c r="H472" s="36">
        <f>IF(G472="","",G472-$D$12)</f>
        <v/>
      </c>
    </row>
    <row r="473">
      <c r="B473" s="34" t="inlineStr">
        <is>
          <t>2023-07-03</t>
        </is>
      </c>
      <c r="C473" s="35" t="n">
        <v>434438.0884928392</v>
      </c>
      <c r="D473" s="36">
        <f>IF(C472&gt;0,C473/C472-1,"")</f>
        <v/>
      </c>
      <c r="E473" s="36">
        <f>IF(D473="","",D473-$C$12)</f>
        <v/>
      </c>
      <c r="F473" s="35" t="n">
        <v>395080.0734347591</v>
      </c>
      <c r="G473" s="36">
        <f>IF(F472&gt;0,F473/F472-1,"")</f>
        <v/>
      </c>
      <c r="H473" s="36">
        <f>IF(G473="","",G473-$D$12)</f>
        <v/>
      </c>
    </row>
    <row r="474">
      <c r="B474" s="34" t="inlineStr">
        <is>
          <t>2023-07-04</t>
        </is>
      </c>
      <c r="C474" s="35" t="n">
        <v>434403.4656525533</v>
      </c>
      <c r="D474" s="36">
        <f>IF(C473&gt;0,C474/C473-1,"")</f>
        <v/>
      </c>
      <c r="E474" s="36">
        <f>IF(D474="","",D474-$C$12)</f>
        <v/>
      </c>
      <c r="F474" s="35" t="n">
        <v>395297.0106350139</v>
      </c>
      <c r="G474" s="36">
        <f>IF(F473&gt;0,F474/F473-1,"")</f>
        <v/>
      </c>
      <c r="H474" s="36">
        <f>IF(G474="","",G474-$D$12)</f>
        <v/>
      </c>
    </row>
    <row r="475">
      <c r="B475" s="34" t="inlineStr">
        <is>
          <t>2023-07-05</t>
        </is>
      </c>
      <c r="C475" s="35" t="n">
        <v>434042.4865116806</v>
      </c>
      <c r="D475" s="36">
        <f>IF(C474&gt;0,C475/C474-1,"")</f>
        <v/>
      </c>
      <c r="E475" s="36">
        <f>IF(D475="","",D475-$C$12)</f>
        <v/>
      </c>
      <c r="F475" s="35" t="n">
        <v>394587.769896207</v>
      </c>
      <c r="G475" s="36">
        <f>IF(F474&gt;0,F475/F474-1,"")</f>
        <v/>
      </c>
      <c r="H475" s="36">
        <f>IF(G475="","",G475-$D$12)</f>
        <v/>
      </c>
    </row>
    <row r="476">
      <c r="B476" s="34" t="inlineStr">
        <is>
          <t>2023-07-06</t>
        </is>
      </c>
      <c r="C476" s="35" t="n">
        <v>429946.3656326283</v>
      </c>
      <c r="D476" s="36">
        <f>IF(C475&gt;0,C476/C475-1,"")</f>
        <v/>
      </c>
      <c r="E476" s="36">
        <f>IF(D476="","",D476-$C$12)</f>
        <v/>
      </c>
      <c r="F476" s="35" t="n">
        <v>391268.8388951439</v>
      </c>
      <c r="G476" s="36">
        <f>IF(F475&gt;0,F476/F475-1,"")</f>
        <v/>
      </c>
      <c r="H476" s="36">
        <f>IF(G476="","",G476-$D$12)</f>
        <v/>
      </c>
    </row>
    <row r="477">
      <c r="B477" s="34" t="inlineStr">
        <is>
          <t>2023-07-07</t>
        </is>
      </c>
      <c r="C477" s="35" t="n">
        <v>428736.5651575394</v>
      </c>
      <c r="D477" s="36">
        <f>IF(C476&gt;0,C477/C476-1,"")</f>
        <v/>
      </c>
      <c r="E477" s="36">
        <f>IF(D477="","",D477-$C$12)</f>
        <v/>
      </c>
      <c r="F477" s="35" t="n">
        <v>390256.1689569899</v>
      </c>
      <c r="G477" s="36">
        <f>IF(F476&gt;0,F477/F476-1,"")</f>
        <v/>
      </c>
      <c r="H477" s="36">
        <f>IF(G477="","",G477-$D$12)</f>
        <v/>
      </c>
    </row>
    <row r="478">
      <c r="B478" s="34" t="inlineStr">
        <is>
          <t>2023-07-10</t>
        </is>
      </c>
      <c r="C478" s="35" t="n">
        <v>428976.5856773587</v>
      </c>
      <c r="D478" s="36">
        <f>IF(C477&gt;0,C478/C477-1,"")</f>
        <v/>
      </c>
      <c r="E478" s="36">
        <f>IF(D478="","",D478-$C$12)</f>
        <v/>
      </c>
      <c r="F478" s="35" t="n">
        <v>390525.8093983632</v>
      </c>
      <c r="G478" s="36">
        <f>IF(F477&gt;0,F478/F477-1,"")</f>
        <v/>
      </c>
      <c r="H478" s="36">
        <f>IF(G478="","",G478-$D$12)</f>
        <v/>
      </c>
    </row>
    <row r="479">
      <c r="B479" s="34" t="inlineStr">
        <is>
          <t>2023-07-11</t>
        </is>
      </c>
      <c r="C479" s="35" t="n">
        <v>428550.1133648986</v>
      </c>
      <c r="D479" s="36">
        <f>IF(C478&gt;0,C479/C478-1,"")</f>
        <v/>
      </c>
      <c r="E479" s="36">
        <f>IF(D479="","",D479-$C$12)</f>
        <v/>
      </c>
      <c r="F479" s="35" t="n">
        <v>390471.8300549649</v>
      </c>
      <c r="G479" s="36">
        <f>IF(F478&gt;0,F479/F478-1,"")</f>
        <v/>
      </c>
      <c r="H479" s="36">
        <f>IF(G479="","",G479-$D$12)</f>
        <v/>
      </c>
    </row>
    <row r="480">
      <c r="B480" s="34" t="inlineStr">
        <is>
          <t>2023-07-12</t>
        </is>
      </c>
      <c r="C480" s="35" t="n">
        <v>430178.4776935802</v>
      </c>
      <c r="D480" s="36">
        <f>IF(C479&gt;0,C480/C479-1,"")</f>
        <v/>
      </c>
      <c r="E480" s="36">
        <f>IF(D480="","",D480-$C$12)</f>
        <v/>
      </c>
      <c r="F480" s="35" t="n">
        <v>391730.0572188132</v>
      </c>
      <c r="G480" s="36">
        <f>IF(F479&gt;0,F480/F479-1,"")</f>
        <v/>
      </c>
      <c r="H480" s="36">
        <f>IF(G480="","",G480-$D$12)</f>
        <v/>
      </c>
    </row>
    <row r="481">
      <c r="B481" s="34" t="inlineStr">
        <is>
          <t>2023-07-13</t>
        </is>
      </c>
      <c r="C481" s="35" t="n">
        <v>431705.9375933741</v>
      </c>
      <c r="D481" s="36">
        <f>IF(C480&gt;0,C481/C480-1,"")</f>
        <v/>
      </c>
      <c r="E481" s="36">
        <f>IF(D481="","",D481-$C$12)</f>
        <v/>
      </c>
      <c r="F481" s="35" t="n">
        <v>392784.5745270132</v>
      </c>
      <c r="G481" s="36">
        <f>IF(F480&gt;0,F481/F480-1,"")</f>
        <v/>
      </c>
      <c r="H481" s="36">
        <f>IF(G481="","",G481-$D$12)</f>
        <v/>
      </c>
    </row>
    <row r="482">
      <c r="B482" s="34" t="inlineStr">
        <is>
          <t>2023-07-14</t>
        </is>
      </c>
      <c r="C482" s="35" t="n">
        <v>432367.3793356582</v>
      </c>
      <c r="D482" s="36">
        <f>IF(C481&gt;0,C482/C481-1,"")</f>
        <v/>
      </c>
      <c r="E482" s="36">
        <f>IF(D482="","",D482-$C$12)</f>
        <v/>
      </c>
      <c r="F482" s="35" t="n">
        <v>393732.5576763283</v>
      </c>
      <c r="G482" s="36">
        <f>IF(F481&gt;0,F482/F481-1,"")</f>
        <v/>
      </c>
      <c r="H482" s="36">
        <f>IF(G482="","",G482-$D$12)</f>
        <v/>
      </c>
    </row>
    <row r="483">
      <c r="B483" s="34" t="inlineStr">
        <is>
          <t>2023-07-17</t>
        </is>
      </c>
      <c r="C483" s="35" t="n">
        <v>432533.5984835543</v>
      </c>
      <c r="D483" s="36">
        <f>IF(C482&gt;0,C483/C482-1,"")</f>
        <v/>
      </c>
      <c r="E483" s="36">
        <f>IF(D483="","",D483-$C$12)</f>
        <v/>
      </c>
      <c r="F483" s="35" t="n">
        <v>393529.1261171575</v>
      </c>
      <c r="G483" s="36">
        <f>IF(F482&gt;0,F483/F482-1,"")</f>
        <v/>
      </c>
      <c r="H483" s="36">
        <f>IF(G483="","",G483-$D$12)</f>
        <v/>
      </c>
    </row>
    <row r="484">
      <c r="B484" s="34" t="inlineStr">
        <is>
          <t>2023-07-18</t>
        </is>
      </c>
      <c r="C484" s="35" t="n">
        <v>433335.484891914</v>
      </c>
      <c r="D484" s="36">
        <f>IF(C483&gt;0,C484/C483-1,"")</f>
        <v/>
      </c>
      <c r="E484" s="36">
        <f>IF(D484="","",D484-$C$12)</f>
        <v/>
      </c>
      <c r="F484" s="35" t="n">
        <v>394250.0732685179</v>
      </c>
      <c r="G484" s="36">
        <f>IF(F483&gt;0,F484/F483-1,"")</f>
        <v/>
      </c>
      <c r="H484" s="36">
        <f>IF(G484="","",G484-$D$12)</f>
        <v/>
      </c>
    </row>
    <row r="485">
      <c r="B485" s="34" t="inlineStr">
        <is>
          <t>2023-07-19</t>
        </is>
      </c>
      <c r="C485" s="35" t="n">
        <v>434107.1925892144</v>
      </c>
      <c r="D485" s="36">
        <f>IF(C484&gt;0,C485/C484-1,"")</f>
        <v/>
      </c>
      <c r="E485" s="36">
        <f>IF(D485="","",D485-$C$12)</f>
        <v/>
      </c>
      <c r="F485" s="35" t="n">
        <v>394839.4942407311</v>
      </c>
      <c r="G485" s="36">
        <f>IF(F484&gt;0,F485/F484-1,"")</f>
        <v/>
      </c>
      <c r="H485" s="36">
        <f>IF(G485="","",G485-$D$12)</f>
        <v/>
      </c>
    </row>
    <row r="486">
      <c r="B486" s="34" t="inlineStr">
        <is>
          <t>2023-07-20</t>
        </is>
      </c>
      <c r="C486" s="35" t="n">
        <v>435672.9883725247</v>
      </c>
      <c r="D486" s="36">
        <f>IF(C485&gt;0,C486/C485-1,"")</f>
        <v/>
      </c>
      <c r="E486" s="36">
        <f>IF(D486="","",D486-$C$12)</f>
        <v/>
      </c>
      <c r="F486" s="35" t="n">
        <v>396686.104931916</v>
      </c>
      <c r="G486" s="36">
        <f>IF(F485&gt;0,F486/F485-1,"")</f>
        <v/>
      </c>
      <c r="H486" s="36">
        <f>IF(G486="","",G486-$D$12)</f>
        <v/>
      </c>
    </row>
    <row r="487">
      <c r="B487" s="34" t="inlineStr">
        <is>
          <t>2023-07-21</t>
        </is>
      </c>
      <c r="C487" s="35" t="n">
        <v>435959.9527639135</v>
      </c>
      <c r="D487" s="36">
        <f>IF(C486&gt;0,C487/C486-1,"")</f>
        <v/>
      </c>
      <c r="E487" s="36">
        <f>IF(D487="","",D487-$C$12)</f>
        <v/>
      </c>
      <c r="F487" s="35" t="n">
        <v>396920.9311858522</v>
      </c>
      <c r="G487" s="36">
        <f>IF(F486&gt;0,F487/F486-1,"")</f>
        <v/>
      </c>
      <c r="H487" s="36">
        <f>IF(G487="","",G487-$D$12)</f>
        <v/>
      </c>
    </row>
    <row r="488">
      <c r="B488" s="34" t="inlineStr">
        <is>
          <t>2023-07-24</t>
        </is>
      </c>
      <c r="C488" s="35" t="n">
        <v>435564.3404880507</v>
      </c>
      <c r="D488" s="36">
        <f>IF(C487&gt;0,C488/C487-1,"")</f>
        <v/>
      </c>
      <c r="E488" s="36">
        <f>IF(D488="","",D488-$C$12)</f>
        <v/>
      </c>
      <c r="F488" s="35" t="n">
        <v>396516.4337419656</v>
      </c>
      <c r="G488" s="36">
        <f>IF(F487&gt;0,F488/F487-1,"")</f>
        <v/>
      </c>
      <c r="H488" s="36">
        <f>IF(G488="","",G488-$D$12)</f>
        <v/>
      </c>
    </row>
    <row r="489">
      <c r="B489" s="34" t="inlineStr">
        <is>
          <t>2023-07-25</t>
        </is>
      </c>
      <c r="C489" s="35" t="n">
        <v>436284.3350937071</v>
      </c>
      <c r="D489" s="36">
        <f>IF(C488&gt;0,C489/C488-1,"")</f>
        <v/>
      </c>
      <c r="E489" s="36">
        <f>IF(D489="","",D489-$C$12)</f>
        <v/>
      </c>
      <c r="F489" s="35" t="n">
        <v>397158.7961063189</v>
      </c>
      <c r="G489" s="36">
        <f>IF(F488&gt;0,F489/F488-1,"")</f>
        <v/>
      </c>
      <c r="H489" s="36">
        <f>IF(G489="","",G489-$D$12)</f>
        <v/>
      </c>
    </row>
    <row r="490">
      <c r="B490" s="34" t="inlineStr">
        <is>
          <t>2023-07-26</t>
        </is>
      </c>
      <c r="C490" s="35" t="n">
        <v>435209.7114841915</v>
      </c>
      <c r="D490" s="36">
        <f>IF(C489&gt;0,C490/C489-1,"")</f>
        <v/>
      </c>
      <c r="E490" s="36">
        <f>IF(D490="","",D490-$C$12)</f>
        <v/>
      </c>
      <c r="F490" s="35" t="n">
        <v>396251.306459325</v>
      </c>
      <c r="G490" s="36">
        <f>IF(F489&gt;0,F490/F489-1,"")</f>
        <v/>
      </c>
      <c r="H490" s="36">
        <f>IF(G490="","",G490-$D$12)</f>
        <v/>
      </c>
    </row>
    <row r="491">
      <c r="B491" s="34" t="inlineStr">
        <is>
          <t>2023-07-27</t>
        </is>
      </c>
      <c r="C491" s="35" t="n">
        <v>438314.733148631</v>
      </c>
      <c r="D491" s="36">
        <f>IF(C490&gt;0,C491/C490-1,"")</f>
        <v/>
      </c>
      <c r="E491" s="36">
        <f>IF(D491="","",D491-$C$12)</f>
        <v/>
      </c>
      <c r="F491" s="35" t="n">
        <v>398412.854206197</v>
      </c>
      <c r="G491" s="36">
        <f>IF(F490&gt;0,F491/F490-1,"")</f>
        <v/>
      </c>
      <c r="H491" s="36">
        <f>IF(G491="","",G491-$D$12)</f>
        <v/>
      </c>
    </row>
    <row r="492">
      <c r="B492" s="34" t="inlineStr">
        <is>
          <t>2023-07-28</t>
        </is>
      </c>
      <c r="C492" s="35" t="n">
        <v>438207.1075012151</v>
      </c>
      <c r="D492" s="36">
        <f>IF(C491&gt;0,C492/C491-1,"")</f>
        <v/>
      </c>
      <c r="E492" s="36">
        <f>IF(D492="","",D492-$C$12)</f>
        <v/>
      </c>
      <c r="F492" s="35" t="n">
        <v>398286.3017928321</v>
      </c>
      <c r="G492" s="36">
        <f>IF(F491&gt;0,F492/F491-1,"")</f>
        <v/>
      </c>
      <c r="H492" s="36">
        <f>IF(G492="","",G492-$D$12)</f>
        <v/>
      </c>
    </row>
    <row r="493">
      <c r="B493" s="34" t="inlineStr">
        <is>
          <t>2023-07-31</t>
        </is>
      </c>
      <c r="C493" s="35" t="n">
        <v>438441.3737185109</v>
      </c>
      <c r="D493" s="36">
        <f>IF(C492&gt;0,C493/C492-1,"")</f>
        <v/>
      </c>
      <c r="E493" s="36">
        <f>IF(D493="","",D493-$C$12)</f>
        <v/>
      </c>
      <c r="F493" s="35" t="n">
        <v>398317.6065979491</v>
      </c>
      <c r="G493" s="36">
        <f>IF(F492&gt;0,F493/F492-1,"")</f>
        <v/>
      </c>
      <c r="H493" s="36">
        <f>IF(G493="","",G493-$D$12)</f>
        <v/>
      </c>
    </row>
    <row r="494">
      <c r="B494" s="34" t="inlineStr">
        <is>
          <t>2023-08-01</t>
        </is>
      </c>
      <c r="C494" s="35" t="n">
        <v>438536.8536531035</v>
      </c>
      <c r="D494" s="36">
        <f>IF(C493&gt;0,C494/C493-1,"")</f>
        <v/>
      </c>
      <c r="E494" s="36">
        <f>IF(D494="","",D494-$C$12)</f>
        <v/>
      </c>
      <c r="F494" s="35" t="n">
        <v>398357.7868528847</v>
      </c>
      <c r="G494" s="36">
        <f>IF(F493&gt;0,F494/F493-1,"")</f>
        <v/>
      </c>
      <c r="H494" s="36">
        <f>IF(G494="","",G494-$D$12)</f>
        <v/>
      </c>
    </row>
    <row r="495">
      <c r="B495" s="34" t="inlineStr">
        <is>
          <t>2023-08-02</t>
        </is>
      </c>
      <c r="C495" s="35" t="n">
        <v>435247.0066998635</v>
      </c>
      <c r="D495" s="36">
        <f>IF(C494&gt;0,C495/C494-1,"")</f>
        <v/>
      </c>
      <c r="E495" s="36">
        <f>IF(D495="","",D495-$C$12)</f>
        <v/>
      </c>
      <c r="F495" s="35" t="n">
        <v>395649.3232165526</v>
      </c>
      <c r="G495" s="36">
        <f>IF(F494&gt;0,F495/F494-1,"")</f>
        <v/>
      </c>
      <c r="H495" s="36">
        <f>IF(G495="","",G495-$D$12)</f>
        <v/>
      </c>
    </row>
    <row r="496">
      <c r="B496" s="34" t="inlineStr">
        <is>
          <t>2023-08-03</t>
        </is>
      </c>
      <c r="C496" s="35" t="n">
        <v>433164.6566721242</v>
      </c>
      <c r="D496" s="36">
        <f>IF(C495&gt;0,C496/C495-1,"")</f>
        <v/>
      </c>
      <c r="E496" s="36">
        <f>IF(D496="","",D496-$C$12)</f>
        <v/>
      </c>
      <c r="F496" s="35" t="n">
        <v>394028.4283666604</v>
      </c>
      <c r="G496" s="36">
        <f>IF(F495&gt;0,F496/F495-1,"")</f>
        <v/>
      </c>
      <c r="H496" s="36">
        <f>IF(G496="","",G496-$D$12)</f>
        <v/>
      </c>
    </row>
    <row r="497">
      <c r="B497" s="34" t="inlineStr">
        <is>
          <t>2023-08-04</t>
        </is>
      </c>
      <c r="C497" s="35" t="n">
        <v>433086.3438377971</v>
      </c>
      <c r="D497" s="36">
        <f>IF(C496&gt;0,C497/C496-1,"")</f>
        <v/>
      </c>
      <c r="E497" s="36">
        <f>IF(D497="","",D497-$C$12)</f>
        <v/>
      </c>
      <c r="F497" s="35" t="n">
        <v>394066.4890659594</v>
      </c>
      <c r="G497" s="36">
        <f>IF(F496&gt;0,F497/F496-1,"")</f>
        <v/>
      </c>
      <c r="H497" s="36">
        <f>IF(G497="","",G497-$D$12)</f>
        <v/>
      </c>
    </row>
    <row r="498">
      <c r="B498" s="34" t="inlineStr">
        <is>
          <t>2023-08-07</t>
        </is>
      </c>
      <c r="C498" s="35" t="n">
        <v>434624.436334199</v>
      </c>
      <c r="D498" s="36">
        <f>IF(C497&gt;0,C498/C497-1,"")</f>
        <v/>
      </c>
      <c r="E498" s="36">
        <f>IF(D498="","",D498-$C$12)</f>
        <v/>
      </c>
      <c r="F498" s="35" t="n">
        <v>395044.8437099408</v>
      </c>
      <c r="G498" s="36">
        <f>IF(F497&gt;0,F498/F497-1,"")</f>
        <v/>
      </c>
      <c r="H498" s="36">
        <f>IF(G498="","",G498-$D$12)</f>
        <v/>
      </c>
    </row>
    <row r="499">
      <c r="B499" s="34" t="inlineStr">
        <is>
          <t>2023-08-08</t>
        </is>
      </c>
      <c r="C499" s="35" t="n">
        <v>436692.2536901642</v>
      </c>
      <c r="D499" s="36">
        <f>IF(C498&gt;0,C499/C498-1,"")</f>
        <v/>
      </c>
      <c r="E499" s="36">
        <f>IF(D499="","",D499-$C$12)</f>
        <v/>
      </c>
      <c r="F499" s="35" t="n">
        <v>395912.0577042779</v>
      </c>
      <c r="G499" s="36">
        <f>IF(F498&gt;0,F499/F498-1,"")</f>
        <v/>
      </c>
      <c r="H499" s="36">
        <f>IF(G499="","",G499-$D$12)</f>
        <v/>
      </c>
    </row>
    <row r="500">
      <c r="B500" s="34" t="inlineStr">
        <is>
          <t>2023-08-09</t>
        </is>
      </c>
      <c r="C500" s="35" t="n">
        <v>437267.4369932055</v>
      </c>
      <c r="D500" s="36">
        <f>IF(C499&gt;0,C500/C499-1,"")</f>
        <v/>
      </c>
      <c r="E500" s="36">
        <f>IF(D500="","",D500-$C$12)</f>
        <v/>
      </c>
      <c r="F500" s="35" t="n">
        <v>396712.4910115282</v>
      </c>
      <c r="G500" s="36">
        <f>IF(F499&gt;0,F500/F499-1,"")</f>
        <v/>
      </c>
      <c r="H500" s="36">
        <f>IF(G500="","",G500-$D$12)</f>
        <v/>
      </c>
    </row>
    <row r="501">
      <c r="B501" s="34" t="inlineStr">
        <is>
          <t>2023-08-10</t>
        </is>
      </c>
      <c r="C501" s="35" t="n">
        <v>437372.6189460203</v>
      </c>
      <c r="D501" s="36">
        <f>IF(C500&gt;0,C501/C500-1,"")</f>
        <v/>
      </c>
      <c r="E501" s="36">
        <f>IF(D501="","",D501-$C$12)</f>
        <v/>
      </c>
      <c r="F501" s="35" t="n">
        <v>396934.2821354836</v>
      </c>
      <c r="G501" s="36">
        <f>IF(F500&gt;0,F501/F500-1,"")</f>
        <v/>
      </c>
      <c r="H501" s="36">
        <f>IF(G501="","",G501-$D$12)</f>
        <v/>
      </c>
    </row>
    <row r="502">
      <c r="B502" s="34" t="inlineStr">
        <is>
          <t>2023-08-11</t>
        </is>
      </c>
      <c r="C502" s="35" t="n">
        <v>434873.8399468724</v>
      </c>
      <c r="D502" s="36">
        <f>IF(C501&gt;0,C502/C501-1,"")</f>
        <v/>
      </c>
      <c r="E502" s="36">
        <f>IF(D502="","",D502-$C$12)</f>
        <v/>
      </c>
      <c r="F502" s="35" t="n">
        <v>395319.9215541907</v>
      </c>
      <c r="G502" s="36">
        <f>IF(F501&gt;0,F502/F501-1,"")</f>
        <v/>
      </c>
      <c r="H502" s="36">
        <f>IF(G502="","",G502-$D$12)</f>
        <v/>
      </c>
    </row>
    <row r="503">
      <c r="B503" s="34" t="inlineStr">
        <is>
          <t>2023-08-14</t>
        </is>
      </c>
      <c r="C503" s="35" t="n">
        <v>436112.8138883532</v>
      </c>
      <c r="D503" s="36">
        <f>IF(C502&gt;0,C503/C502-1,"")</f>
        <v/>
      </c>
      <c r="E503" s="36">
        <f>IF(D503="","",D503-$C$12)</f>
        <v/>
      </c>
      <c r="F503" s="35" t="n">
        <v>395865.5376923345</v>
      </c>
      <c r="G503" s="36">
        <f>IF(F502&gt;0,F503/F502-1,"")</f>
        <v/>
      </c>
      <c r="H503" s="36">
        <f>IF(G503="","",G503-$D$12)</f>
        <v/>
      </c>
    </row>
    <row r="504">
      <c r="B504" s="34" t="inlineStr">
        <is>
          <t>2023-08-15</t>
        </is>
      </c>
      <c r="C504" s="35" t="n">
        <v>434523.2232645973</v>
      </c>
      <c r="D504" s="36">
        <f>IF(C503&gt;0,C504/C503-1,"")</f>
        <v/>
      </c>
      <c r="E504" s="36">
        <f>IF(D504="","",D504-$C$12)</f>
        <v/>
      </c>
      <c r="F504" s="35" t="n">
        <v>394404.8044248358</v>
      </c>
      <c r="G504" s="36">
        <f>IF(F503&gt;0,F504/F503-1,"")</f>
        <v/>
      </c>
      <c r="H504" s="36">
        <f>IF(G504="","",G504-$D$12)</f>
        <v/>
      </c>
    </row>
    <row r="505">
      <c r="B505" s="34" t="inlineStr">
        <is>
          <t>2023-08-16</t>
        </is>
      </c>
      <c r="C505" s="35" t="n">
        <v>434508.6345230046</v>
      </c>
      <c r="D505" s="36">
        <f>IF(C504&gt;0,C505/C504-1,"")</f>
        <v/>
      </c>
      <c r="E505" s="36">
        <f>IF(D505="","",D505-$C$12)</f>
        <v/>
      </c>
      <c r="F505" s="35" t="n">
        <v>393931.5451369688</v>
      </c>
      <c r="G505" s="36">
        <f>IF(F504&gt;0,F505/F504-1,"")</f>
        <v/>
      </c>
      <c r="H505" s="36">
        <f>IF(G505="","",G505-$D$12)</f>
        <v/>
      </c>
    </row>
    <row r="506">
      <c r="B506" s="34" t="inlineStr">
        <is>
          <t>2023-08-17</t>
        </is>
      </c>
      <c r="C506" s="35" t="n">
        <v>432638.8713283403</v>
      </c>
      <c r="D506" s="36">
        <f>IF(C505&gt;0,C506/C505-1,"")</f>
        <v/>
      </c>
      <c r="E506" s="36">
        <f>IF(D506="","",D506-$C$12)</f>
        <v/>
      </c>
      <c r="F506" s="35" t="n">
        <v>392122.9018851075</v>
      </c>
      <c r="G506" s="36">
        <f>IF(F505&gt;0,F506/F505-1,"")</f>
        <v/>
      </c>
      <c r="H506" s="36">
        <f>IF(G506="","",G506-$D$12)</f>
        <v/>
      </c>
    </row>
    <row r="507">
      <c r="B507" s="34" t="inlineStr">
        <is>
          <t>2023-08-18</t>
        </is>
      </c>
      <c r="C507" s="35" t="n">
        <v>431138.8109911209</v>
      </c>
      <c r="D507" s="36">
        <f>IF(C506&gt;0,C507/C506-1,"")</f>
        <v/>
      </c>
      <c r="E507" s="36">
        <f>IF(D507="","",D507-$C$12)</f>
        <v/>
      </c>
      <c r="F507" s="35" t="n">
        <v>390838.6454632557</v>
      </c>
      <c r="G507" s="36">
        <f>IF(F506&gt;0,F507/F506-1,"")</f>
        <v/>
      </c>
      <c r="H507" s="36">
        <f>IF(G507="","",G507-$D$12)</f>
        <v/>
      </c>
    </row>
    <row r="508">
      <c r="B508" s="34" t="inlineStr">
        <is>
          <t>2023-08-21</t>
        </is>
      </c>
      <c r="C508" s="35" t="n">
        <v>432614.5291126508</v>
      </c>
      <c r="D508" s="36">
        <f>IF(C507&gt;0,C508/C507-1,"")</f>
        <v/>
      </c>
      <c r="E508" s="36">
        <f>IF(D508="","",D508-$C$12)</f>
        <v/>
      </c>
      <c r="F508" s="35" t="n">
        <v>391031.1633833311</v>
      </c>
      <c r="G508" s="36">
        <f>IF(F507&gt;0,F508/F507-1,"")</f>
        <v/>
      </c>
      <c r="H508" s="36">
        <f>IF(G508="","",G508-$D$12)</f>
        <v/>
      </c>
    </row>
    <row r="509">
      <c r="B509" s="34" t="inlineStr">
        <is>
          <t>2023-08-22</t>
        </is>
      </c>
      <c r="C509" s="35" t="n">
        <v>432371.0931432568</v>
      </c>
      <c r="D509" s="36">
        <f>IF(C508&gt;0,C509/C508-1,"")</f>
        <v/>
      </c>
      <c r="E509" s="36">
        <f>IF(D509="","",D509-$C$12)</f>
        <v/>
      </c>
      <c r="F509" s="35" t="n">
        <v>390992.5531001383</v>
      </c>
      <c r="G509" s="36">
        <f>IF(F508&gt;0,F509/F508-1,"")</f>
        <v/>
      </c>
      <c r="H509" s="36">
        <f>IF(G509="","",G509-$D$12)</f>
        <v/>
      </c>
    </row>
    <row r="510">
      <c r="B510" s="34" t="inlineStr">
        <is>
          <t>2023-08-23</t>
        </is>
      </c>
      <c r="C510" s="35" t="n">
        <v>434400.3109156612</v>
      </c>
      <c r="D510" s="36">
        <f>IF(C509&gt;0,C510/C509-1,"")</f>
        <v/>
      </c>
      <c r="E510" s="36">
        <f>IF(D510="","",D510-$C$12)</f>
        <v/>
      </c>
      <c r="F510" s="35" t="n">
        <v>392338.0110245612</v>
      </c>
      <c r="G510" s="36">
        <f>IF(F509&gt;0,F510/F509-1,"")</f>
        <v/>
      </c>
      <c r="H510" s="36">
        <f>IF(G510="","",G510-$D$12)</f>
        <v/>
      </c>
    </row>
    <row r="511">
      <c r="B511" s="34" t="inlineStr">
        <is>
          <t>2023-08-24</t>
        </is>
      </c>
      <c r="C511" s="35" t="n">
        <v>434342.5495703068</v>
      </c>
      <c r="D511" s="36">
        <f>IF(C510&gt;0,C511/C510-1,"")</f>
        <v/>
      </c>
      <c r="E511" s="36">
        <f>IF(D511="","",D511-$C$12)</f>
        <v/>
      </c>
      <c r="F511" s="35" t="n">
        <v>392098.050555214</v>
      </c>
      <c r="G511" s="36">
        <f>IF(F510&gt;0,F511/F510-1,"")</f>
        <v/>
      </c>
      <c r="H511" s="36">
        <f>IF(G511="","",G511-$D$12)</f>
        <v/>
      </c>
    </row>
    <row r="512">
      <c r="B512" s="34" t="inlineStr">
        <is>
          <t>2023-08-25</t>
        </is>
      </c>
      <c r="C512" s="35" t="n">
        <v>433729.27855295</v>
      </c>
      <c r="D512" s="36">
        <f>IF(C511&gt;0,C512/C511-1,"")</f>
        <v/>
      </c>
      <c r="E512" s="36">
        <f>IF(D512="","",D512-$C$12)</f>
        <v/>
      </c>
      <c r="F512" s="35" t="n">
        <v>391988.0560091282</v>
      </c>
      <c r="G512" s="36">
        <f>IF(F511&gt;0,F512/F511-1,"")</f>
        <v/>
      </c>
      <c r="H512" s="36">
        <f>IF(G512="","",G512-$D$12)</f>
        <v/>
      </c>
    </row>
    <row r="513">
      <c r="B513" s="34" t="inlineStr">
        <is>
          <t>2023-08-28</t>
        </is>
      </c>
      <c r="C513" s="35" t="n">
        <v>435567.4018242063</v>
      </c>
      <c r="D513" s="36">
        <f>IF(C512&gt;0,C513/C512-1,"")</f>
        <v/>
      </c>
      <c r="E513" s="36">
        <f>IF(D513="","",D513-$C$12)</f>
        <v/>
      </c>
      <c r="F513" s="35" t="n">
        <v>393305.7657984254</v>
      </c>
      <c r="G513" s="36">
        <f>IF(F512&gt;0,F513/F512-1,"")</f>
        <v/>
      </c>
      <c r="H513" s="36">
        <f>IF(G513="","",G513-$D$12)</f>
        <v/>
      </c>
    </row>
    <row r="514">
      <c r="B514" s="34" t="inlineStr">
        <is>
          <t>2023-08-29</t>
        </is>
      </c>
      <c r="C514" s="35" t="n">
        <v>437969.7166420794</v>
      </c>
      <c r="D514" s="36">
        <f>IF(C513&gt;0,C514/C513-1,"")</f>
        <v/>
      </c>
      <c r="E514" s="36">
        <f>IF(D514="","",D514-$C$12)</f>
        <v/>
      </c>
      <c r="F514" s="35" t="n">
        <v>394949.3890507437</v>
      </c>
      <c r="G514" s="36">
        <f>IF(F513&gt;0,F514/F513-1,"")</f>
        <v/>
      </c>
      <c r="H514" s="36">
        <f>IF(G514="","",G514-$D$12)</f>
        <v/>
      </c>
    </row>
    <row r="515">
      <c r="B515" s="34" t="inlineStr">
        <is>
          <t>2023-08-30</t>
        </is>
      </c>
      <c r="C515" s="35" t="n">
        <v>438108.7920388094</v>
      </c>
      <c r="D515" s="36">
        <f>IF(C514&gt;0,C515/C514-1,"")</f>
        <v/>
      </c>
      <c r="E515" s="36">
        <f>IF(D515="","",D515-$C$12)</f>
        <v/>
      </c>
      <c r="F515" s="35" t="n">
        <v>394863.406474699</v>
      </c>
      <c r="G515" s="36">
        <f>IF(F514&gt;0,F515/F514-1,"")</f>
        <v/>
      </c>
      <c r="H515" s="36">
        <f>IF(G515="","",G515-$D$12)</f>
        <v/>
      </c>
    </row>
    <row r="516">
      <c r="B516" s="34" t="inlineStr">
        <is>
          <t>2023-08-31</t>
        </is>
      </c>
      <c r="C516" s="35" t="n">
        <v>438302.0203449808</v>
      </c>
      <c r="D516" s="36">
        <f>IF(C515&gt;0,C516/C515-1,"")</f>
        <v/>
      </c>
      <c r="E516" s="36">
        <f>IF(D516="","",D516-$C$12)</f>
        <v/>
      </c>
      <c r="F516" s="35" t="n">
        <v>394949.8680427184</v>
      </c>
      <c r="G516" s="36">
        <f>IF(F515&gt;0,F516/F515-1,"")</f>
        <v/>
      </c>
      <c r="H516" s="36">
        <f>IF(G516="","",G516-$D$12)</f>
        <v/>
      </c>
    </row>
    <row r="517">
      <c r="B517" s="34" t="inlineStr">
        <is>
          <t>2023-09-01</t>
        </is>
      </c>
      <c r="C517" s="35" t="n">
        <v>438319.696984084</v>
      </c>
      <c r="D517" s="36">
        <f>IF(C516&gt;0,C517/C516-1,"")</f>
        <v/>
      </c>
      <c r="E517" s="36">
        <f>IF(D517="","",D517-$C$12)</f>
        <v/>
      </c>
      <c r="F517" s="35" t="n">
        <v>394696.4107547438</v>
      </c>
      <c r="G517" s="36">
        <f>IF(F516&gt;0,F517/F516-1,"")</f>
        <v/>
      </c>
      <c r="H517" s="36">
        <f>IF(G517="","",G517-$D$12)</f>
        <v/>
      </c>
    </row>
    <row r="518">
      <c r="B518" s="34" t="inlineStr">
        <is>
          <t>2023-09-04</t>
        </is>
      </c>
      <c r="C518" s="35" t="n">
        <v>437517.6579941733</v>
      </c>
      <c r="D518" s="36">
        <f>IF(C517&gt;0,C518/C517-1,"")</f>
        <v/>
      </c>
      <c r="E518" s="36">
        <f>IF(D518="","",D518-$C$12)</f>
        <v/>
      </c>
      <c r="F518" s="35" t="n">
        <v>393988.077968538</v>
      </c>
      <c r="G518" s="36">
        <f>IF(F517&gt;0,F518/F517-1,"")</f>
        <v/>
      </c>
      <c r="H518" s="36">
        <f>IF(G518="","",G518-$D$12)</f>
        <v/>
      </c>
    </row>
    <row r="519">
      <c r="B519" s="34" t="inlineStr">
        <is>
          <t>2023-09-05</t>
        </is>
      </c>
      <c r="C519" s="35" t="n">
        <v>437418.7012058562</v>
      </c>
      <c r="D519" s="36">
        <f>IF(C518&gt;0,C519/C518-1,"")</f>
        <v/>
      </c>
      <c r="E519" s="36">
        <f>IF(D519="","",D519-$C$12)</f>
        <v/>
      </c>
      <c r="F519" s="35" t="n">
        <v>393840.4789106944</v>
      </c>
      <c r="G519" s="36">
        <f>IF(F518&gt;0,F519/F518-1,"")</f>
        <v/>
      </c>
      <c r="H519" s="36">
        <f>IF(G519="","",G519-$D$12)</f>
        <v/>
      </c>
    </row>
    <row r="520">
      <c r="B520" s="34" t="inlineStr">
        <is>
          <t>2023-09-06</t>
        </is>
      </c>
      <c r="C520" s="35" t="n">
        <v>437237.4068067345</v>
      </c>
      <c r="D520" s="36">
        <f>IF(C519&gt;0,C520/C519-1,"")</f>
        <v/>
      </c>
      <c r="E520" s="36">
        <f>IF(D520="","",D520-$C$12)</f>
        <v/>
      </c>
      <c r="F520" s="35" t="n">
        <v>393354.5764200871</v>
      </c>
      <c r="G520" s="36">
        <f>IF(F519&gt;0,F520/F519-1,"")</f>
        <v/>
      </c>
      <c r="H520" s="36">
        <f>IF(G520="","",G520-$D$12)</f>
        <v/>
      </c>
    </row>
    <row r="521">
      <c r="B521" s="34" t="inlineStr">
        <is>
          <t>2023-09-07</t>
        </is>
      </c>
      <c r="C521" s="35" t="n">
        <v>438352.5476304986</v>
      </c>
      <c r="D521" s="36">
        <f>IF(C520&gt;0,C521/C520-1,"")</f>
        <v/>
      </c>
      <c r="E521" s="36">
        <f>IF(D521="","",D521-$C$12)</f>
        <v/>
      </c>
      <c r="F521" s="35" t="n">
        <v>394100.8031643375</v>
      </c>
      <c r="G521" s="36">
        <f>IF(F520&gt;0,F521/F520-1,"")</f>
        <v/>
      </c>
      <c r="H521" s="36">
        <f>IF(G521="","",G521-$D$12)</f>
        <v/>
      </c>
    </row>
    <row r="522">
      <c r="B522" s="34" t="inlineStr">
        <is>
          <t>2023-09-08</t>
        </is>
      </c>
      <c r="C522" s="35" t="n">
        <v>437839.2566398433</v>
      </c>
      <c r="D522" s="36">
        <f>IF(C521&gt;0,C522/C521-1,"")</f>
        <v/>
      </c>
      <c r="E522" s="36">
        <f>IF(D522="","",D522-$C$12)</f>
        <v/>
      </c>
      <c r="F522" s="35" t="n">
        <v>393676.8847220195</v>
      </c>
      <c r="G522" s="36">
        <f>IF(F521&gt;0,F522/F521-1,"")</f>
        <v/>
      </c>
      <c r="H522" s="36">
        <f>IF(G522="","",G522-$D$12)</f>
        <v/>
      </c>
    </row>
    <row r="523">
      <c r="B523" s="34" t="inlineStr">
        <is>
          <t>2023-09-11</t>
        </is>
      </c>
      <c r="C523" s="35" t="n">
        <v>438762.6211390481</v>
      </c>
      <c r="D523" s="36">
        <f>IF(C522&gt;0,C523/C522-1,"")</f>
        <v/>
      </c>
      <c r="E523" s="36">
        <f>IF(D523="","",D523-$C$12)</f>
        <v/>
      </c>
      <c r="F523" s="35" t="n">
        <v>394304.3302363529</v>
      </c>
      <c r="G523" s="36">
        <f>IF(F522&gt;0,F523/F522-1,"")</f>
        <v/>
      </c>
      <c r="H523" s="36">
        <f>IF(G523="","",G523-$D$12)</f>
        <v/>
      </c>
    </row>
    <row r="524">
      <c r="B524" s="34" t="inlineStr">
        <is>
          <t>2023-09-12</t>
        </is>
      </c>
      <c r="C524" s="35" t="n">
        <v>438680.1383512435</v>
      </c>
      <c r="D524" s="36">
        <f>IF(C523&gt;0,C524/C523-1,"")</f>
        <v/>
      </c>
      <c r="E524" s="36">
        <f>IF(D524="","",D524-$C$12)</f>
        <v/>
      </c>
      <c r="F524" s="35" t="n">
        <v>394423.2663473415</v>
      </c>
      <c r="G524" s="36">
        <f>IF(F523&gt;0,F524/F523-1,"")</f>
        <v/>
      </c>
      <c r="H524" s="36">
        <f>IF(G524="","",G524-$D$12)</f>
        <v/>
      </c>
    </row>
    <row r="525">
      <c r="B525" s="34" t="inlineStr">
        <is>
          <t>2023-09-13</t>
        </is>
      </c>
      <c r="C525" s="35" t="n">
        <v>426304.6639302573</v>
      </c>
      <c r="D525" s="36">
        <f>IF(C524&gt;0,C525/C524-1,"")</f>
        <v/>
      </c>
      <c r="E525" s="36">
        <f>IF(D525="","",D525-$C$12)</f>
        <v/>
      </c>
      <c r="F525" s="35" t="n">
        <v>388242.328210464</v>
      </c>
      <c r="G525" s="36">
        <f>IF(F524&gt;0,F525/F524-1,"")</f>
        <v/>
      </c>
      <c r="H525" s="36">
        <f>IF(G525="","",G525-$D$12)</f>
        <v/>
      </c>
    </row>
    <row r="526">
      <c r="B526" s="34" t="inlineStr">
        <is>
          <t>2023-09-14</t>
        </is>
      </c>
      <c r="C526" s="35" t="n">
        <v>428548.439132496</v>
      </c>
      <c r="D526" s="36">
        <f>IF(C525&gt;0,C526/C525-1,"")</f>
        <v/>
      </c>
      <c r="E526" s="36">
        <f>IF(D526="","",D526-$C$12)</f>
        <v/>
      </c>
      <c r="F526" s="35" t="n">
        <v>390287.4194921502</v>
      </c>
      <c r="G526" s="36">
        <f>IF(F525&gt;0,F526/F525-1,"")</f>
        <v/>
      </c>
      <c r="H526" s="36">
        <f>IF(G526="","",G526-$D$12)</f>
        <v/>
      </c>
    </row>
    <row r="527">
      <c r="B527" s="34" t="inlineStr">
        <is>
          <t>2023-09-15</t>
        </is>
      </c>
      <c r="C527" s="35" t="n">
        <v>429079.1587941248</v>
      </c>
      <c r="D527" s="36">
        <f>IF(C526&gt;0,C527/C526-1,"")</f>
        <v/>
      </c>
      <c r="E527" s="36">
        <f>IF(D527="","",D527-$C$12)</f>
        <v/>
      </c>
      <c r="F527" s="35" t="n">
        <v>390887.9985990181</v>
      </c>
      <c r="G527" s="36">
        <f>IF(F526&gt;0,F527/F526-1,"")</f>
        <v/>
      </c>
      <c r="H527" s="36">
        <f>IF(G527="","",G527-$D$12)</f>
        <v/>
      </c>
    </row>
    <row r="528">
      <c r="B528" s="34" t="inlineStr">
        <is>
          <t>2023-09-18</t>
        </is>
      </c>
      <c r="C528" s="35" t="n">
        <v>428342.9989136008</v>
      </c>
      <c r="D528" s="36">
        <f>IF(C527&gt;0,C528/C527-1,"")</f>
        <v/>
      </c>
      <c r="E528" s="36">
        <f>IF(D528="","",D528-$C$12)</f>
        <v/>
      </c>
      <c r="F528" s="35" t="n">
        <v>390599.8120039016</v>
      </c>
      <c r="G528" s="36">
        <f>IF(F527&gt;0,F528/F527-1,"")</f>
        <v/>
      </c>
      <c r="H528" s="36">
        <f>IF(G528="","",G528-$D$12)</f>
        <v/>
      </c>
    </row>
    <row r="529">
      <c r="B529" s="34" t="inlineStr">
        <is>
          <t>2023-09-19</t>
        </is>
      </c>
      <c r="C529" s="35" t="n">
        <v>428264.5205396037</v>
      </c>
      <c r="D529" s="36">
        <f>IF(C528&gt;0,C529/C528-1,"")</f>
        <v/>
      </c>
      <c r="E529" s="36">
        <f>IF(D529="","",D529-$C$12)</f>
        <v/>
      </c>
      <c r="F529" s="35" t="n">
        <v>390263.6795551809</v>
      </c>
      <c r="G529" s="36">
        <f>IF(F528&gt;0,F529/F528-1,"")</f>
        <v/>
      </c>
      <c r="H529" s="36">
        <f>IF(G529="","",G529-$D$12)</f>
        <v/>
      </c>
    </row>
    <row r="530">
      <c r="B530" s="34" t="inlineStr">
        <is>
          <t>2023-09-20</t>
        </is>
      </c>
      <c r="C530" s="35" t="n">
        <v>429348.3864682772</v>
      </c>
      <c r="D530" s="36">
        <f>IF(C529&gt;0,C530/C529-1,"")</f>
        <v/>
      </c>
      <c r="E530" s="36">
        <f>IF(D530="","",D530-$C$12)</f>
        <v/>
      </c>
      <c r="F530" s="35" t="n">
        <v>391284.6976784889</v>
      </c>
      <c r="G530" s="36">
        <f>IF(F529&gt;0,F530/F529-1,"")</f>
        <v/>
      </c>
      <c r="H530" s="36">
        <f>IF(G530="","",G530-$D$12)</f>
        <v/>
      </c>
    </row>
    <row r="531">
      <c r="B531" s="34" t="inlineStr">
        <is>
          <t>2023-09-21</t>
        </is>
      </c>
      <c r="C531" s="35" t="n">
        <v>427337.0586178265</v>
      </c>
      <c r="D531" s="36">
        <f>IF(C530&gt;0,C531/C530-1,"")</f>
        <v/>
      </c>
      <c r="E531" s="36">
        <f>IF(D531="","",D531-$C$12)</f>
        <v/>
      </c>
      <c r="F531" s="35" t="n">
        <v>389549.6345098265</v>
      </c>
      <c r="G531" s="36">
        <f>IF(F530&gt;0,F531/F530-1,"")</f>
        <v/>
      </c>
      <c r="H531" s="36">
        <f>IF(G531="","",G531-$D$12)</f>
        <v/>
      </c>
    </row>
    <row r="532">
      <c r="B532" s="34" t="inlineStr">
        <is>
          <t>2023-09-22</t>
        </is>
      </c>
      <c r="C532" s="35" t="n">
        <v>426308.1294540689</v>
      </c>
      <c r="D532" s="36">
        <f>IF(C531&gt;0,C532/C531-1,"")</f>
        <v/>
      </c>
      <c r="E532" s="36">
        <f>IF(D532="","",D532-$C$12)</f>
        <v/>
      </c>
      <c r="F532" s="35" t="n">
        <v>388804.2559561449</v>
      </c>
      <c r="G532" s="36">
        <f>IF(F531&gt;0,F532/F531-1,"")</f>
        <v/>
      </c>
      <c r="H532" s="36">
        <f>IF(G532="","",G532-$D$12)</f>
        <v/>
      </c>
    </row>
    <row r="533">
      <c r="B533" s="34" t="inlineStr">
        <is>
          <t>2023-09-25</t>
        </is>
      </c>
      <c r="C533" s="35" t="n">
        <v>426555.3864542869</v>
      </c>
      <c r="D533" s="36">
        <f>IF(C532&gt;0,C533/C532-1,"")</f>
        <v/>
      </c>
      <c r="E533" s="36">
        <f>IF(D533="","",D533-$C$12)</f>
        <v/>
      </c>
      <c r="F533" s="35" t="n">
        <v>389027.1203511815</v>
      </c>
      <c r="G533" s="36">
        <f>IF(F532&gt;0,F533/F532-1,"")</f>
        <v/>
      </c>
      <c r="H533" s="36">
        <f>IF(G533="","",G533-$D$12)</f>
        <v/>
      </c>
    </row>
    <row r="534">
      <c r="B534" s="34" t="inlineStr">
        <is>
          <t>2023-09-26</t>
        </is>
      </c>
      <c r="C534" s="35" t="n">
        <v>426188.2513251604</v>
      </c>
      <c r="D534" s="36">
        <f>IF(C533&gt;0,C534/C533-1,"")</f>
        <v/>
      </c>
      <c r="E534" s="36">
        <f>IF(D534="","",D534-$C$12)</f>
        <v/>
      </c>
      <c r="F534" s="35" t="n">
        <v>387869.6772640544</v>
      </c>
      <c r="G534" s="36">
        <f>IF(F533&gt;0,F534/F533-1,"")</f>
        <v/>
      </c>
      <c r="H534" s="36">
        <f>IF(G534="","",G534-$D$12)</f>
        <v/>
      </c>
    </row>
    <row r="535">
      <c r="B535" s="34" t="inlineStr">
        <is>
          <t>2023-09-27</t>
        </is>
      </c>
      <c r="C535" s="35" t="n">
        <v>425970.5283157137</v>
      </c>
      <c r="D535" s="36">
        <f>IF(C534&gt;0,C535/C534-1,"")</f>
        <v/>
      </c>
      <c r="E535" s="36">
        <f>IF(D535="","",D535-$C$12)</f>
        <v/>
      </c>
      <c r="F535" s="35" t="n">
        <v>387760.8982879996</v>
      </c>
      <c r="G535" s="36">
        <f>IF(F534&gt;0,F535/F534-1,"")</f>
        <v/>
      </c>
      <c r="H535" s="36">
        <f>IF(G535="","",G535-$D$12)</f>
        <v/>
      </c>
    </row>
    <row r="536">
      <c r="B536" s="34" t="inlineStr">
        <is>
          <t>2023-09-28</t>
        </is>
      </c>
      <c r="C536" s="35" t="n">
        <v>426150.5305510189</v>
      </c>
      <c r="D536" s="36">
        <f>IF(C535&gt;0,C536/C535-1,"")</f>
        <v/>
      </c>
      <c r="E536" s="36">
        <f>IF(D536="","",D536-$C$12)</f>
        <v/>
      </c>
      <c r="F536" s="35" t="n">
        <v>387739.7142706057</v>
      </c>
      <c r="G536" s="36">
        <f>IF(F535&gt;0,F536/F535-1,"")</f>
        <v/>
      </c>
      <c r="H536" s="36">
        <f>IF(G536="","",G536-$D$12)</f>
        <v/>
      </c>
    </row>
    <row r="537">
      <c r="B537" s="34" t="inlineStr">
        <is>
          <t>2023-09-29</t>
        </is>
      </c>
      <c r="C537" s="35" t="n">
        <v>427355.6305075443</v>
      </c>
      <c r="D537" s="36">
        <f>IF(C536&gt;0,C537/C536-1,"")</f>
        <v/>
      </c>
      <c r="E537" s="36">
        <f>IF(D537="","",D537-$C$12)</f>
        <v/>
      </c>
      <c r="F537" s="35" t="n">
        <v>388822.5713172169</v>
      </c>
      <c r="G537" s="36">
        <f>IF(F536&gt;0,F537/F536-1,"")</f>
        <v/>
      </c>
      <c r="H537" s="36">
        <f>IF(G537="","",G537-$D$12)</f>
        <v/>
      </c>
    </row>
    <row r="538">
      <c r="B538" s="34" t="inlineStr">
        <is>
          <t>2023-10-02</t>
        </is>
      </c>
      <c r="C538" s="35" t="n">
        <v>425740.8890723836</v>
      </c>
      <c r="D538" s="36">
        <f>IF(C537&gt;0,C538/C537-1,"")</f>
        <v/>
      </c>
      <c r="E538" s="36">
        <f>IF(D538="","",D538-$C$12)</f>
        <v/>
      </c>
      <c r="F538" s="35" t="n">
        <v>387273.0766503792</v>
      </c>
      <c r="G538" s="36">
        <f>IF(F537&gt;0,F538/F537-1,"")</f>
        <v/>
      </c>
      <c r="H538" s="36">
        <f>IF(G538="","",G538-$D$12)</f>
        <v/>
      </c>
    </row>
    <row r="539">
      <c r="B539" s="34" t="inlineStr">
        <is>
          <t>2023-10-03</t>
        </is>
      </c>
      <c r="C539" s="35" t="n">
        <v>423182.247279886</v>
      </c>
      <c r="D539" s="36">
        <f>IF(C538&gt;0,C539/C538-1,"")</f>
        <v/>
      </c>
      <c r="E539" s="36">
        <f>IF(D539="","",D539-$C$12)</f>
        <v/>
      </c>
      <c r="F539" s="35" t="n">
        <v>385275.2723490366</v>
      </c>
      <c r="G539" s="36">
        <f>IF(F538&gt;0,F539/F538-1,"")</f>
        <v/>
      </c>
      <c r="H539" s="36">
        <f>IF(G539="","",G539-$D$12)</f>
        <v/>
      </c>
    </row>
    <row r="540">
      <c r="B540" s="34" t="inlineStr">
        <is>
          <t>2023-10-04</t>
        </is>
      </c>
      <c r="C540" s="35" t="n">
        <v>422480.9771083726</v>
      </c>
      <c r="D540" s="36">
        <f>IF(C539&gt;0,C540/C539-1,"")</f>
        <v/>
      </c>
      <c r="E540" s="36">
        <f>IF(D540="","",D540-$C$12)</f>
        <v/>
      </c>
      <c r="F540" s="35" t="n">
        <v>384453.2703467548</v>
      </c>
      <c r="G540" s="36">
        <f>IF(F539&gt;0,F540/F539-1,"")</f>
        <v/>
      </c>
      <c r="H540" s="36">
        <f>IF(G540="","",G540-$D$12)</f>
        <v/>
      </c>
    </row>
    <row r="541">
      <c r="B541" s="34" t="inlineStr">
        <is>
          <t>2023-10-05</t>
        </is>
      </c>
      <c r="C541" s="35" t="n">
        <v>422906.6669851812</v>
      </c>
      <c r="D541" s="36">
        <f>IF(C540&gt;0,C541/C540-1,"")</f>
        <v/>
      </c>
      <c r="E541" s="36">
        <f>IF(D541="","",D541-$C$12)</f>
        <v/>
      </c>
      <c r="F541" s="35" t="n">
        <v>384836.4135313306</v>
      </c>
      <c r="G541" s="36">
        <f>IF(F540&gt;0,F541/F540-1,"")</f>
        <v/>
      </c>
      <c r="H541" s="36">
        <f>IF(G541="","",G541-$D$12)</f>
        <v/>
      </c>
    </row>
    <row r="542">
      <c r="B542" s="34" t="inlineStr">
        <is>
          <t>2023-10-06</t>
        </is>
      </c>
      <c r="C542" s="35" t="n">
        <v>425099.6973421486</v>
      </c>
      <c r="D542" s="36">
        <f>IF(C541&gt;0,C542/C541-1,"")</f>
        <v/>
      </c>
      <c r="E542" s="36">
        <f>IF(D542="","",D542-$C$12)</f>
        <v/>
      </c>
      <c r="F542" s="35" t="n">
        <v>386478.4137420239</v>
      </c>
      <c r="G542" s="36">
        <f>IF(F541&gt;0,F542/F541-1,"")</f>
        <v/>
      </c>
      <c r="H542" s="36">
        <f>IF(G542="","",G542-$D$12)</f>
        <v/>
      </c>
    </row>
    <row r="543">
      <c r="B543" s="34" t="inlineStr">
        <is>
          <t>2023-10-09</t>
        </is>
      </c>
      <c r="C543" s="35" t="n">
        <v>425230.5417609852</v>
      </c>
      <c r="D543" s="36">
        <f>IF(C542&gt;0,C543/C542-1,"")</f>
        <v/>
      </c>
      <c r="E543" s="36">
        <f>IF(D543="","",D543-$C$12)</f>
        <v/>
      </c>
      <c r="F543" s="35" t="n">
        <v>386269.0405378369</v>
      </c>
      <c r="G543" s="36">
        <f>IF(F542&gt;0,F543/F542-1,"")</f>
        <v/>
      </c>
      <c r="H543" s="36">
        <f>IF(G543="","",G543-$D$12)</f>
        <v/>
      </c>
    </row>
    <row r="544">
      <c r="B544" s="34" t="inlineStr">
        <is>
          <t>2023-10-10</t>
        </is>
      </c>
      <c r="C544" s="35" t="n">
        <v>428160.3449569886</v>
      </c>
      <c r="D544" s="36">
        <f>IF(C543&gt;0,C544/C543-1,"")</f>
        <v/>
      </c>
      <c r="E544" s="36">
        <f>IF(D544="","",D544-$C$12)</f>
        <v/>
      </c>
      <c r="F544" s="35" t="n">
        <v>388673.6162212339</v>
      </c>
      <c r="G544" s="36">
        <f>IF(F543&gt;0,F544/F543-1,"")</f>
        <v/>
      </c>
      <c r="H544" s="36">
        <f>IF(G544="","",G544-$D$12)</f>
        <v/>
      </c>
    </row>
    <row r="545">
      <c r="B545" s="34" t="inlineStr">
        <is>
          <t>2023-10-11</t>
        </is>
      </c>
      <c r="C545" s="35" t="n">
        <v>429982.1561363219</v>
      </c>
      <c r="D545" s="36">
        <f>IF(C544&gt;0,C545/C544-1,"")</f>
        <v/>
      </c>
      <c r="E545" s="36">
        <f>IF(D545="","",D545-$C$12)</f>
        <v/>
      </c>
      <c r="F545" s="35" t="n">
        <v>389912.7170631594</v>
      </c>
      <c r="G545" s="36">
        <f>IF(F544&gt;0,F545/F544-1,"")</f>
        <v/>
      </c>
      <c r="H545" s="36">
        <f>IF(G545="","",G545-$D$12)</f>
        <v/>
      </c>
    </row>
    <row r="546">
      <c r="B546" s="34" t="inlineStr">
        <is>
          <t>2023-10-12</t>
        </is>
      </c>
      <c r="C546" s="35" t="n">
        <v>430474.4293156927</v>
      </c>
      <c r="D546" s="36">
        <f>IF(C545&gt;0,C546/C545-1,"")</f>
        <v/>
      </c>
      <c r="E546" s="36">
        <f>IF(D546="","",D546-$C$12)</f>
        <v/>
      </c>
      <c r="F546" s="35" t="n">
        <v>389857.7202083694</v>
      </c>
      <c r="G546" s="36">
        <f>IF(F545&gt;0,F546/F545-1,"")</f>
        <v/>
      </c>
      <c r="H546" s="36">
        <f>IF(G546="","",G546-$D$12)</f>
        <v/>
      </c>
    </row>
    <row r="547">
      <c r="B547" s="34" t="inlineStr">
        <is>
          <t>2023-10-13</t>
        </is>
      </c>
      <c r="C547" s="35" t="n">
        <v>428701.2418417797</v>
      </c>
      <c r="D547" s="36">
        <f>IF(C546&gt;0,C547/C546-1,"")</f>
        <v/>
      </c>
      <c r="E547" s="36">
        <f>IF(D547="","",D547-$C$12)</f>
        <v/>
      </c>
      <c r="F547" s="35" t="n">
        <v>388382.6709351481</v>
      </c>
      <c r="G547" s="36">
        <f>IF(F546&gt;0,F547/F546-1,"")</f>
        <v/>
      </c>
      <c r="H547" s="36">
        <f>IF(G547="","",G547-$D$12)</f>
        <v/>
      </c>
    </row>
    <row r="548">
      <c r="B548" s="34" t="inlineStr">
        <is>
          <t>2023-10-16</t>
        </is>
      </c>
      <c r="C548" s="35" t="n">
        <v>428416.7400043269</v>
      </c>
      <c r="D548" s="36">
        <f>IF(C547&gt;0,C548/C547-1,"")</f>
        <v/>
      </c>
      <c r="E548" s="36">
        <f>IF(D548="","",D548-$C$12)</f>
        <v/>
      </c>
      <c r="F548" s="35" t="n">
        <v>388360.6522728836</v>
      </c>
      <c r="G548" s="36">
        <f>IF(F547&gt;0,F548/F547-1,"")</f>
        <v/>
      </c>
      <c r="H548" s="36">
        <f>IF(G548="","",G548-$D$12)</f>
        <v/>
      </c>
    </row>
    <row r="549">
      <c r="B549" s="34" t="inlineStr">
        <is>
          <t>2023-10-17</t>
        </is>
      </c>
      <c r="C549" s="35" t="n">
        <v>427762.7229455325</v>
      </c>
      <c r="D549" s="36">
        <f>IF(C548&gt;0,C549/C548-1,"")</f>
        <v/>
      </c>
      <c r="E549" s="36">
        <f>IF(D549="","",D549-$C$12)</f>
        <v/>
      </c>
      <c r="F549" s="35" t="n">
        <v>387943.5935415632</v>
      </c>
      <c r="G549" s="36">
        <f>IF(F548&gt;0,F549/F548-1,"")</f>
        <v/>
      </c>
      <c r="H549" s="36">
        <f>IF(G549="","",G549-$D$12)</f>
        <v/>
      </c>
    </row>
    <row r="550">
      <c r="B550" s="34" t="inlineStr">
        <is>
          <t>2023-10-18</t>
        </is>
      </c>
      <c r="C550" s="35" t="n">
        <v>424682.6549255216</v>
      </c>
      <c r="D550" s="36">
        <f>IF(C549&gt;0,C550/C549-1,"")</f>
        <v/>
      </c>
      <c r="E550" s="36">
        <f>IF(D550="","",D550-$C$12)</f>
        <v/>
      </c>
      <c r="F550" s="35" t="n">
        <v>385116.5340134614</v>
      </c>
      <c r="G550" s="36">
        <f>IF(F549&gt;0,F550/F549-1,"")</f>
        <v/>
      </c>
      <c r="H550" s="36">
        <f>IF(G550="","",G550-$D$12)</f>
        <v/>
      </c>
    </row>
    <row r="551">
      <c r="B551" s="34" t="inlineStr">
        <is>
          <t>2023-10-19</t>
        </is>
      </c>
      <c r="C551" s="35" t="n">
        <v>420388.0453910356</v>
      </c>
      <c r="D551" s="36">
        <f>IF(C550&gt;0,C551/C550-1,"")</f>
        <v/>
      </c>
      <c r="E551" s="36">
        <f>IF(D551="","",D551-$C$12)</f>
        <v/>
      </c>
      <c r="F551" s="35" t="n">
        <v>381590.4913841748</v>
      </c>
      <c r="G551" s="36">
        <f>IF(F550&gt;0,F551/F550-1,"")</f>
        <v/>
      </c>
      <c r="H551" s="36">
        <f>IF(G551="","",G551-$D$12)</f>
        <v/>
      </c>
    </row>
    <row r="552">
      <c r="B552" s="34" t="inlineStr">
        <is>
          <t>2023-10-20</t>
        </is>
      </c>
      <c r="C552" s="35" t="n">
        <v>417513.065012774</v>
      </c>
      <c r="D552" s="36">
        <f>IF(C551&gt;0,C552/C551-1,"")</f>
        <v/>
      </c>
      <c r="E552" s="36">
        <f>IF(D552="","",D552-$C$12)</f>
        <v/>
      </c>
      <c r="F552" s="35" t="n">
        <v>379459.1254967178</v>
      </c>
      <c r="G552" s="36">
        <f>IF(F551&gt;0,F552/F551-1,"")</f>
        <v/>
      </c>
      <c r="H552" s="36">
        <f>IF(G552="","",G552-$D$12)</f>
        <v/>
      </c>
    </row>
    <row r="553">
      <c r="B553" s="34" t="inlineStr">
        <is>
          <t>2023-10-23</t>
        </is>
      </c>
      <c r="C553" s="35" t="n">
        <v>417772.6051194086</v>
      </c>
      <c r="D553" s="36">
        <f>IF(C552&gt;0,C553/C552-1,"")</f>
        <v/>
      </c>
      <c r="E553" s="36">
        <f>IF(D553="","",D553-$C$12)</f>
        <v/>
      </c>
      <c r="F553" s="35" t="n">
        <v>379686.9668231734</v>
      </c>
      <c r="G553" s="36">
        <f>IF(F552&gt;0,F553/F552-1,"")</f>
        <v/>
      </c>
      <c r="H553" s="36">
        <f>IF(G553="","",G553-$D$12)</f>
        <v/>
      </c>
    </row>
    <row r="554">
      <c r="B554" s="34" t="inlineStr">
        <is>
          <t>2023-10-24</t>
        </is>
      </c>
      <c r="C554" s="35" t="n">
        <v>419028.7647077146</v>
      </c>
      <c r="D554" s="36">
        <f>IF(C553&gt;0,C554/C553-1,"")</f>
        <v/>
      </c>
      <c r="E554" s="36">
        <f>IF(D554="","",D554-$C$12)</f>
        <v/>
      </c>
      <c r="F554" s="35" t="n">
        <v>380592.547102817</v>
      </c>
      <c r="G554" s="36">
        <f>IF(F553&gt;0,F554/F553-1,"")</f>
        <v/>
      </c>
      <c r="H554" s="36">
        <f>IF(G554="","",G554-$D$12)</f>
        <v/>
      </c>
    </row>
    <row r="555">
      <c r="B555" s="34" t="inlineStr">
        <is>
          <t>2023-10-25</t>
        </is>
      </c>
      <c r="C555" s="35" t="n">
        <v>419245.5813944186</v>
      </c>
      <c r="D555" s="36">
        <f>IF(C554&gt;0,C555/C554-1,"")</f>
        <v/>
      </c>
      <c r="E555" s="36">
        <f>IF(D555="","",D555-$C$12)</f>
        <v/>
      </c>
      <c r="F555" s="35" t="n">
        <v>380562.7643477863</v>
      </c>
      <c r="G555" s="36">
        <f>IF(F554&gt;0,F555/F554-1,"")</f>
        <v/>
      </c>
      <c r="H555" s="36">
        <f>IF(G555="","",G555-$D$12)</f>
        <v/>
      </c>
    </row>
    <row r="556">
      <c r="B556" s="34" t="inlineStr">
        <is>
          <t>2023-10-26</t>
        </is>
      </c>
      <c r="C556" s="35" t="n">
        <v>417914.5244100178</v>
      </c>
      <c r="D556" s="36">
        <f>IF(C555&gt;0,C556/C555-1,"")</f>
        <v/>
      </c>
      <c r="E556" s="36">
        <f>IF(D556="","",D556-$C$12)</f>
        <v/>
      </c>
      <c r="F556" s="35" t="n">
        <v>379861.0261619055</v>
      </c>
      <c r="G556" s="36">
        <f>IF(F555&gt;0,F556/F555-1,"")</f>
        <v/>
      </c>
      <c r="H556" s="36">
        <f>IF(G556="","",G556-$D$12)</f>
        <v/>
      </c>
    </row>
    <row r="557">
      <c r="B557" s="34" t="inlineStr">
        <is>
          <t>2023-10-27</t>
        </is>
      </c>
      <c r="C557" s="35" t="n">
        <v>417136.5548179746</v>
      </c>
      <c r="D557" s="36">
        <f>IF(C556&gt;0,C557/C556-1,"")</f>
        <v/>
      </c>
      <c r="E557" s="36">
        <f>IF(D557="","",D557-$C$12)</f>
        <v/>
      </c>
      <c r="F557" s="35" t="n">
        <v>379130.3977281404</v>
      </c>
      <c r="G557" s="36">
        <f>IF(F556&gt;0,F557/F556-1,"")</f>
        <v/>
      </c>
      <c r="H557" s="36">
        <f>IF(G557="","",G557-$D$12)</f>
        <v/>
      </c>
    </row>
    <row r="558">
      <c r="B558" s="34" t="inlineStr">
        <is>
          <t>2023-10-30</t>
        </is>
      </c>
      <c r="C558" s="35" t="n">
        <v>419588.140296934</v>
      </c>
      <c r="D558" s="36">
        <f>IF(C557&gt;0,C558/C557-1,"")</f>
        <v/>
      </c>
      <c r="E558" s="36">
        <f>IF(D558="","",D558-$C$12)</f>
        <v/>
      </c>
      <c r="F558" s="35" t="n">
        <v>381009.6435164578</v>
      </c>
      <c r="G558" s="36">
        <f>IF(F557&gt;0,F558/F557-1,"")</f>
        <v/>
      </c>
      <c r="H558" s="36">
        <f>IF(G558="","",G558-$D$12)</f>
        <v/>
      </c>
    </row>
    <row r="559">
      <c r="B559" s="34" t="inlineStr">
        <is>
          <t>2023-10-31</t>
        </is>
      </c>
      <c r="C559" s="35" t="n">
        <v>420642.2957071809</v>
      </c>
      <c r="D559" s="36">
        <f>IF(C558&gt;0,C559/C558-1,"")</f>
        <v/>
      </c>
      <c r="E559" s="36">
        <f>IF(D559="","",D559-$C$12)</f>
        <v/>
      </c>
      <c r="F559" s="35" t="n">
        <v>381802.7083917306</v>
      </c>
      <c r="G559" s="36">
        <f>IF(F558&gt;0,F559/F558-1,"")</f>
        <v/>
      </c>
      <c r="H559" s="36">
        <f>IF(G559="","",G559-$D$12)</f>
        <v/>
      </c>
    </row>
    <row r="560">
      <c r="B560" s="34" t="inlineStr">
        <is>
          <t>2023-11-01</t>
        </is>
      </c>
      <c r="C560" s="35" t="n">
        <v>423361.2907951143</v>
      </c>
      <c r="D560" s="36">
        <f>IF(C559&gt;0,C560/C559-1,"")</f>
        <v/>
      </c>
      <c r="E560" s="36">
        <f>IF(D560="","",D560-$C$12)</f>
        <v/>
      </c>
      <c r="F560" s="35" t="n">
        <v>383657.6791113464</v>
      </c>
      <c r="G560" s="36">
        <f>IF(F559&gt;0,F560/F559-1,"")</f>
        <v/>
      </c>
      <c r="H560" s="36">
        <f>IF(G560="","",G560-$D$12)</f>
        <v/>
      </c>
    </row>
    <row r="561">
      <c r="B561" s="34" t="inlineStr">
        <is>
          <t>2023-11-02</t>
        </is>
      </c>
      <c r="C561" s="35" t="n">
        <v>425603.9561177847</v>
      </c>
      <c r="D561" s="36">
        <f>IF(C560&gt;0,C561/C560-1,"")</f>
        <v/>
      </c>
      <c r="E561" s="36">
        <f>IF(D561="","",D561-$C$12)</f>
        <v/>
      </c>
      <c r="F561" s="35" t="n">
        <v>386053.7235026625</v>
      </c>
      <c r="G561" s="36">
        <f>IF(F560&gt;0,F561/F560-1,"")</f>
        <v/>
      </c>
      <c r="H561" s="36">
        <f>IF(G561="","",G561-$D$12)</f>
        <v/>
      </c>
    </row>
    <row r="562">
      <c r="B562" s="34" t="inlineStr">
        <is>
          <t>2023-11-03</t>
        </is>
      </c>
      <c r="C562" s="35" t="n">
        <v>425262.6921559324</v>
      </c>
      <c r="D562" s="36">
        <f>IF(C561&gt;0,C562/C561-1,"")</f>
        <v/>
      </c>
      <c r="E562" s="36">
        <f>IF(D562="","",D562-$C$12)</f>
        <v/>
      </c>
      <c r="F562" s="35" t="n">
        <v>386015.128614919</v>
      </c>
      <c r="G562" s="36">
        <f>IF(F561&gt;0,F562/F561-1,"")</f>
        <v/>
      </c>
      <c r="H562" s="36">
        <f>IF(G562="","",G562-$D$12)</f>
        <v/>
      </c>
    </row>
    <row r="563">
      <c r="B563" s="34" t="inlineStr">
        <is>
          <t>2023-11-06</t>
        </is>
      </c>
      <c r="C563" s="35" t="n">
        <v>426054.842263125</v>
      </c>
      <c r="D563" s="36">
        <f>IF(C562&gt;0,C563/C562-1,"")</f>
        <v/>
      </c>
      <c r="E563" s="36">
        <f>IF(D563="","",D563-$C$12)</f>
        <v/>
      </c>
      <c r="F563" s="35" t="n">
        <v>386264.4988683978</v>
      </c>
      <c r="G563" s="36">
        <f>IF(F562&gt;0,F563/F562-1,"")</f>
        <v/>
      </c>
      <c r="H563" s="36">
        <f>IF(G563="","",G563-$D$12)</f>
        <v/>
      </c>
    </row>
    <row r="564">
      <c r="B564" s="34" t="inlineStr">
        <is>
          <t>2023-11-07</t>
        </is>
      </c>
      <c r="C564" s="35" t="n">
        <v>425352.9550554964</v>
      </c>
      <c r="D564" s="36">
        <f>IF(C563&gt;0,C564/C563-1,"")</f>
        <v/>
      </c>
      <c r="E564" s="36">
        <f>IF(D564="","",D564-$C$12)</f>
        <v/>
      </c>
      <c r="F564" s="35" t="n">
        <v>385457.4113976458</v>
      </c>
      <c r="G564" s="36">
        <f>IF(F563&gt;0,F564/F563-1,"")</f>
        <v/>
      </c>
      <c r="H564" s="36">
        <f>IF(G564="","",G564-$D$12)</f>
        <v/>
      </c>
    </row>
    <row r="565">
      <c r="B565" s="34" t="inlineStr">
        <is>
          <t>2023-11-08</t>
        </is>
      </c>
      <c r="C565" s="35" t="n">
        <v>425152.9684974041</v>
      </c>
      <c r="D565" s="36">
        <f>IF(C564&gt;0,C565/C564-1,"")</f>
        <v/>
      </c>
      <c r="E565" s="36">
        <f>IF(D565="","",D565-$C$12)</f>
        <v/>
      </c>
      <c r="F565" s="35" t="n">
        <v>385136.6580782519</v>
      </c>
      <c r="G565" s="36">
        <f>IF(F564&gt;0,F565/F564-1,"")</f>
        <v/>
      </c>
      <c r="H565" s="36">
        <f>IF(G565="","",G565-$D$12)</f>
        <v/>
      </c>
    </row>
    <row r="566">
      <c r="B566" s="34" t="inlineStr">
        <is>
          <t>2023-11-09</t>
        </is>
      </c>
      <c r="C566" s="35" t="n">
        <v>426100.3305604713</v>
      </c>
      <c r="D566" s="36">
        <f>IF(C565&gt;0,C566/C565-1,"")</f>
        <v/>
      </c>
      <c r="E566" s="36">
        <f>IF(D566="","",D566-$C$12)</f>
        <v/>
      </c>
      <c r="F566" s="35" t="n">
        <v>386038.3805789741</v>
      </c>
      <c r="G566" s="36">
        <f>IF(F565&gt;0,F566/F565-1,"")</f>
        <v/>
      </c>
      <c r="H566" s="36">
        <f>IF(G566="","",G566-$D$12)</f>
        <v/>
      </c>
    </row>
    <row r="567">
      <c r="B567" s="34" t="inlineStr">
        <is>
          <t>2023-11-10</t>
        </is>
      </c>
      <c r="C567" s="35" t="n">
        <v>425932.3874815205</v>
      </c>
      <c r="D567" s="36">
        <f>IF(C566&gt;0,C567/C566-1,"")</f>
        <v/>
      </c>
      <c r="E567" s="36">
        <f>IF(D567="","",D567-$C$12)</f>
        <v/>
      </c>
      <c r="F567" s="35" t="n">
        <v>385414.214391335</v>
      </c>
      <c r="G567" s="36">
        <f>IF(F566&gt;0,F567/F566-1,"")</f>
        <v/>
      </c>
      <c r="H567" s="36">
        <f>IF(G567="","",G567-$D$12)</f>
        <v/>
      </c>
    </row>
    <row r="568">
      <c r="B568" s="34" t="inlineStr">
        <is>
          <t>2023-11-13</t>
        </is>
      </c>
      <c r="C568" s="35" t="n">
        <v>427395.0740431373</v>
      </c>
      <c r="D568" s="36">
        <f>IF(C567&gt;0,C568/C567-1,"")</f>
        <v/>
      </c>
      <c r="E568" s="36">
        <f>IF(D568="","",D568-$C$12)</f>
        <v/>
      </c>
      <c r="F568" s="35" t="n">
        <v>386301.189309318</v>
      </c>
      <c r="G568" s="36">
        <f>IF(F567&gt;0,F568/F567-1,"")</f>
        <v/>
      </c>
      <c r="H568" s="36">
        <f>IF(G568="","",G568-$D$12)</f>
        <v/>
      </c>
    </row>
    <row r="569">
      <c r="B569" s="34" t="inlineStr">
        <is>
          <t>2023-11-14</t>
        </is>
      </c>
      <c r="C569" s="35" t="n">
        <v>428614.3296693657</v>
      </c>
      <c r="D569" s="36">
        <f>IF(C568&gt;0,C569/C568-1,"")</f>
        <v/>
      </c>
      <c r="E569" s="36">
        <f>IF(D569="","",D569-$C$12)</f>
        <v/>
      </c>
      <c r="F569" s="35" t="n">
        <v>387975.1292986996</v>
      </c>
      <c r="G569" s="36">
        <f>IF(F568&gt;0,F569/F568-1,"")</f>
        <v/>
      </c>
      <c r="H569" s="36">
        <f>IF(G569="","",G569-$D$12)</f>
        <v/>
      </c>
    </row>
    <row r="570">
      <c r="B570" s="34" t="inlineStr">
        <is>
          <t>2023-11-15</t>
        </is>
      </c>
      <c r="C570" s="35" t="n">
        <v>427996.6209943336</v>
      </c>
      <c r="D570" s="36">
        <f>IF(C569&gt;0,C570/C569-1,"")</f>
        <v/>
      </c>
      <c r="E570" s="36">
        <f>IF(D570="","",D570-$C$12)</f>
        <v/>
      </c>
      <c r="F570" s="35" t="n">
        <v>387459.2615174342</v>
      </c>
      <c r="G570" s="36">
        <f>IF(F569&gt;0,F570/F569-1,"")</f>
        <v/>
      </c>
      <c r="H570" s="36">
        <f>IF(G570="","",G570-$D$12)</f>
        <v/>
      </c>
    </row>
    <row r="571">
      <c r="B571" s="34" t="inlineStr">
        <is>
          <t>2023-11-16</t>
        </is>
      </c>
      <c r="C571" s="35" t="n">
        <v>427615.6243957678</v>
      </c>
      <c r="D571" s="36">
        <f>IF(C570&gt;0,C571/C570-1,"")</f>
        <v/>
      </c>
      <c r="E571" s="36">
        <f>IF(D571="","",D571-$C$12)</f>
        <v/>
      </c>
      <c r="F571" s="35" t="n">
        <v>387017.1057536408</v>
      </c>
      <c r="G571" s="36">
        <f>IF(F570&gt;0,F571/F570-1,"")</f>
        <v/>
      </c>
      <c r="H571" s="36">
        <f>IF(G571="","",G571-$D$12)</f>
        <v/>
      </c>
    </row>
    <row r="572">
      <c r="B572" s="34" t="inlineStr">
        <is>
          <t>2023-11-17</t>
        </is>
      </c>
      <c r="C572" s="35" t="n">
        <v>429019.4866989355</v>
      </c>
      <c r="D572" s="36">
        <f>IF(C571&gt;0,C572/C571-1,"")</f>
        <v/>
      </c>
      <c r="E572" s="36">
        <f>IF(D572="","",D572-$C$12)</f>
        <v/>
      </c>
      <c r="F572" s="35" t="n">
        <v>388117.0941810543</v>
      </c>
      <c r="G572" s="36">
        <f>IF(F571&gt;0,F572/F571-1,"")</f>
        <v/>
      </c>
      <c r="H572" s="36">
        <f>IF(G572="","",G572-$D$12)</f>
        <v/>
      </c>
    </row>
    <row r="573">
      <c r="B573" s="34" t="inlineStr">
        <is>
          <t>2023-11-20</t>
        </is>
      </c>
      <c r="C573" s="35" t="n">
        <v>429977.1269264426</v>
      </c>
      <c r="D573" s="36">
        <f>IF(C572&gt;0,C573/C572-1,"")</f>
        <v/>
      </c>
      <c r="E573" s="36">
        <f>IF(D573="","",D573-$C$12)</f>
        <v/>
      </c>
      <c r="F573" s="35" t="n">
        <v>388721.7075842202</v>
      </c>
      <c r="G573" s="36">
        <f>IF(F572&gt;0,F573/F572-1,"")</f>
        <v/>
      </c>
      <c r="H573" s="36">
        <f>IF(G573="","",G573-$D$12)</f>
        <v/>
      </c>
    </row>
    <row r="574">
      <c r="B574" s="34" t="inlineStr">
        <is>
          <t>2023-11-21</t>
        </is>
      </c>
      <c r="C574" s="35" t="n">
        <v>429281.235721713</v>
      </c>
      <c r="D574" s="36">
        <f>IF(C573&gt;0,C574/C573-1,"")</f>
        <v/>
      </c>
      <c r="E574" s="36">
        <f>IF(D574="","",D574-$C$12)</f>
        <v/>
      </c>
      <c r="F574" s="35" t="n">
        <v>388130.3498057498</v>
      </c>
      <c r="G574" s="36">
        <f>IF(F573&gt;0,F574/F573-1,"")</f>
        <v/>
      </c>
      <c r="H574" s="36">
        <f>IF(G574="","",G574-$D$12)</f>
        <v/>
      </c>
    </row>
    <row r="575">
      <c r="B575" s="34" t="inlineStr">
        <is>
          <t>2023-11-22</t>
        </is>
      </c>
      <c r="C575" s="35" t="n">
        <v>429086.2388128728</v>
      </c>
      <c r="D575" s="36">
        <f>IF(C574&gt;0,C575/C574-1,"")</f>
        <v/>
      </c>
      <c r="E575" s="36">
        <f>IF(D575="","",D575-$C$12)</f>
        <v/>
      </c>
      <c r="F575" s="35" t="n">
        <v>388322.2342176707</v>
      </c>
      <c r="G575" s="36">
        <f>IF(F574&gt;0,F575/F574-1,"")</f>
        <v/>
      </c>
      <c r="H575" s="36">
        <f>IF(G575="","",G575-$D$12)</f>
        <v/>
      </c>
    </row>
    <row r="576">
      <c r="B576" s="34" t="inlineStr">
        <is>
          <t>2023-11-23</t>
        </is>
      </c>
      <c r="C576" s="35" t="n">
        <v>429687.7897003045</v>
      </c>
      <c r="D576" s="36">
        <f>IF(C575&gt;0,C576/C575-1,"")</f>
        <v/>
      </c>
      <c r="E576" s="36">
        <f>IF(D576="","",D576-$C$12)</f>
        <v/>
      </c>
      <c r="F576" s="35" t="n">
        <v>388903.5069092058</v>
      </c>
      <c r="G576" s="36">
        <f>IF(F575&gt;0,F576/F575-1,"")</f>
        <v/>
      </c>
      <c r="H576" s="36">
        <f>IF(G576="","",G576-$D$12)</f>
        <v/>
      </c>
    </row>
    <row r="577">
      <c r="B577" s="34" t="inlineStr">
        <is>
          <t>2023-11-24</t>
        </is>
      </c>
      <c r="C577" s="35" t="n">
        <v>430237.0823858962</v>
      </c>
      <c r="D577" s="36">
        <f>IF(C576&gt;0,C577/C576-1,"")</f>
        <v/>
      </c>
      <c r="E577" s="36">
        <f>IF(D577="","",D577-$C$12)</f>
        <v/>
      </c>
      <c r="F577" s="35" t="n">
        <v>389648.5754929825</v>
      </c>
      <c r="G577" s="36">
        <f>IF(F576&gt;0,F577/F576-1,"")</f>
        <v/>
      </c>
      <c r="H577" s="36">
        <f>IF(G577="","",G577-$D$12)</f>
        <v/>
      </c>
    </row>
    <row r="578">
      <c r="B578" s="34" t="inlineStr">
        <is>
          <t>2023-11-27</t>
        </is>
      </c>
      <c r="C578" s="35" t="n">
        <v>429529.7402627787</v>
      </c>
      <c r="D578" s="36">
        <f>IF(C577&gt;0,C578/C577-1,"")</f>
        <v/>
      </c>
      <c r="E578" s="36">
        <f>IF(D578="","",D578-$C$12)</f>
        <v/>
      </c>
      <c r="F578" s="35" t="n">
        <v>388982.3649649294</v>
      </c>
      <c r="G578" s="36">
        <f>IF(F577&gt;0,F578/F577-1,"")</f>
        <v/>
      </c>
      <c r="H578" s="36">
        <f>IF(G578="","",G578-$D$12)</f>
        <v/>
      </c>
    </row>
    <row r="579">
      <c r="B579" s="34" t="inlineStr">
        <is>
          <t>2023-11-28</t>
        </is>
      </c>
      <c r="C579" s="35" t="n">
        <v>428142.6116066277</v>
      </c>
      <c r="D579" s="36">
        <f>IF(C578&gt;0,C579/C578-1,"")</f>
        <v/>
      </c>
      <c r="E579" s="36">
        <f>IF(D579="","",D579-$C$12)</f>
        <v/>
      </c>
      <c r="F579" s="35" t="n">
        <v>388370.3319284329</v>
      </c>
      <c r="G579" s="36">
        <f>IF(F578&gt;0,F579/F578-1,"")</f>
        <v/>
      </c>
      <c r="H579" s="36">
        <f>IF(G579="","",G579-$D$12)</f>
        <v/>
      </c>
    </row>
    <row r="580">
      <c r="B580" s="34" t="inlineStr">
        <is>
          <t>2023-11-29</t>
        </is>
      </c>
      <c r="C580" s="35" t="n">
        <v>428261.1464465925</v>
      </c>
      <c r="D580" s="36">
        <f>IF(C579&gt;0,C580/C579-1,"")</f>
        <v/>
      </c>
      <c r="E580" s="36">
        <f>IF(D580="","",D580-$C$12)</f>
        <v/>
      </c>
      <c r="F580" s="35" t="n">
        <v>388733.5970154377</v>
      </c>
      <c r="G580" s="36">
        <f>IF(F579&gt;0,F580/F579-1,"")</f>
        <v/>
      </c>
      <c r="H580" s="36">
        <f>IF(G580="","",G580-$D$12)</f>
        <v/>
      </c>
    </row>
    <row r="581">
      <c r="B581" s="34" t="inlineStr">
        <is>
          <t>2023-11-30</t>
        </is>
      </c>
      <c r="C581" s="35" t="n">
        <v>428153.6899014828</v>
      </c>
      <c r="D581" s="36">
        <f>IF(C580&gt;0,C581/C580-1,"")</f>
        <v/>
      </c>
      <c r="E581" s="36">
        <f>IF(D581="","",D581-$C$12)</f>
        <v/>
      </c>
      <c r="F581" s="35" t="n">
        <v>388602.6266256752</v>
      </c>
      <c r="G581" s="36">
        <f>IF(F580&gt;0,F581/F580-1,"")</f>
        <v/>
      </c>
      <c r="H581" s="36">
        <f>IF(G581="","",G581-$D$12)</f>
        <v/>
      </c>
    </row>
    <row r="582">
      <c r="B582" s="34" t="inlineStr">
        <is>
          <t>2023-12-01</t>
        </is>
      </c>
      <c r="C582" s="35" t="n">
        <v>428379.6597374619</v>
      </c>
      <c r="D582" s="36">
        <f>IF(C581&gt;0,C582/C581-1,"")</f>
        <v/>
      </c>
      <c r="E582" s="36">
        <f>IF(D582="","",D582-$C$12)</f>
        <v/>
      </c>
      <c r="F582" s="35" t="n">
        <v>389463.3216949104</v>
      </c>
      <c r="G582" s="36">
        <f>IF(F581&gt;0,F582/F581-1,"")</f>
        <v/>
      </c>
      <c r="H582" s="36">
        <f>IF(G582="","",G582-$D$12)</f>
        <v/>
      </c>
    </row>
    <row r="583">
      <c r="B583" s="34" t="inlineStr">
        <is>
          <t>2023-12-04</t>
        </is>
      </c>
      <c r="C583" s="35" t="n">
        <v>428152.0590556884</v>
      </c>
      <c r="D583" s="36">
        <f>IF(C582&gt;0,C583/C582-1,"")</f>
        <v/>
      </c>
      <c r="E583" s="36">
        <f>IF(D583="","",D583-$C$12)</f>
        <v/>
      </c>
      <c r="F583" s="35" t="n">
        <v>389617.1676251581</v>
      </c>
      <c r="G583" s="36">
        <f>IF(F582&gt;0,F583/F582-1,"")</f>
        <v/>
      </c>
      <c r="H583" s="36">
        <f>IF(G583="","",G583-$D$12)</f>
        <v/>
      </c>
    </row>
    <row r="584">
      <c r="B584" s="34" t="inlineStr">
        <is>
          <t>2023-12-05</t>
        </is>
      </c>
      <c r="C584" s="35" t="n">
        <v>429302.1547536636</v>
      </c>
      <c r="D584" s="36">
        <f>IF(C583&gt;0,C584/C583-1,"")</f>
        <v/>
      </c>
      <c r="E584" s="36">
        <f>IF(D584="","",D584-$C$12)</f>
        <v/>
      </c>
      <c r="F584" s="35" t="n">
        <v>390728.4317399923</v>
      </c>
      <c r="G584" s="36">
        <f>IF(F583&gt;0,F584/F583-1,"")</f>
        <v/>
      </c>
      <c r="H584" s="36">
        <f>IF(G584="","",G584-$D$12)</f>
        <v/>
      </c>
    </row>
    <row r="585">
      <c r="B585" s="34" t="inlineStr">
        <is>
          <t>2023-12-06</t>
        </is>
      </c>
      <c r="C585" s="35" t="n">
        <v>428430.3350587367</v>
      </c>
      <c r="D585" s="36">
        <f>IF(C584&gt;0,C585/C584-1,"")</f>
        <v/>
      </c>
      <c r="E585" s="36">
        <f>IF(D585="","",D585-$C$12)</f>
        <v/>
      </c>
      <c r="F585" s="35" t="n">
        <v>390254.2804926657</v>
      </c>
      <c r="G585" s="36">
        <f>IF(F584&gt;0,F585/F584-1,"")</f>
        <v/>
      </c>
      <c r="H585" s="36">
        <f>IF(G585="","",G585-$D$12)</f>
        <v/>
      </c>
    </row>
    <row r="586">
      <c r="B586" s="34" t="inlineStr">
        <is>
          <t>2023-12-07</t>
        </is>
      </c>
      <c r="C586" s="35" t="n">
        <v>428862.1622812574</v>
      </c>
      <c r="D586" s="36">
        <f>IF(C585&gt;0,C586/C585-1,"")</f>
        <v/>
      </c>
      <c r="E586" s="36">
        <f>IF(D586="","",D586-$C$12)</f>
        <v/>
      </c>
      <c r="F586" s="35" t="n">
        <v>390604.0248093772</v>
      </c>
      <c r="G586" s="36">
        <f>IF(F585&gt;0,F586/F585-1,"")</f>
        <v/>
      </c>
      <c r="H586" s="36">
        <f>IF(G586="","",G586-$D$12)</f>
        <v/>
      </c>
    </row>
    <row r="587">
      <c r="B587" s="34" t="inlineStr">
        <is>
          <t>2023-12-08</t>
        </is>
      </c>
      <c r="C587" s="35" t="n">
        <v>431244.7821007269</v>
      </c>
      <c r="D587" s="36">
        <f>IF(C586&gt;0,C587/C586-1,"")</f>
        <v/>
      </c>
      <c r="E587" s="36">
        <f>IF(D587="","",D587-$C$12)</f>
        <v/>
      </c>
      <c r="F587" s="35" t="n">
        <v>392535.2373519484</v>
      </c>
      <c r="G587" s="36">
        <f>IF(F586&gt;0,F587/F586-1,"")</f>
        <v/>
      </c>
      <c r="H587" s="36">
        <f>IF(G587="","",G587-$D$12)</f>
        <v/>
      </c>
    </row>
    <row r="588">
      <c r="B588" s="34" t="inlineStr">
        <is>
          <t>2023-12-11</t>
        </is>
      </c>
      <c r="C588" s="35" t="n">
        <v>431011.9468738979</v>
      </c>
      <c r="D588" s="36">
        <f>IF(C587&gt;0,C588/C587-1,"")</f>
        <v/>
      </c>
      <c r="E588" s="36">
        <f>IF(D588="","",D588-$C$12)</f>
        <v/>
      </c>
      <c r="F588" s="35" t="n">
        <v>392598.9954744977</v>
      </c>
      <c r="G588" s="36">
        <f>IF(F587&gt;0,F588/F587-1,"")</f>
        <v/>
      </c>
      <c r="H588" s="36">
        <f>IF(G588="","",G588-$D$12)</f>
        <v/>
      </c>
    </row>
    <row r="589">
      <c r="B589" s="34" t="inlineStr">
        <is>
          <t>2023-12-12</t>
        </is>
      </c>
      <c r="C589" s="35" t="n">
        <v>430954.4025950896</v>
      </c>
      <c r="D589" s="36">
        <f>IF(C588&gt;0,C589/C588-1,"")</f>
        <v/>
      </c>
      <c r="E589" s="36">
        <f>IF(D589="","",D589-$C$12)</f>
        <v/>
      </c>
      <c r="F589" s="35" t="n">
        <v>392544.9027695974</v>
      </c>
      <c r="G589" s="36">
        <f>IF(F588&gt;0,F589/F588-1,"")</f>
        <v/>
      </c>
      <c r="H589" s="36">
        <f>IF(G589="","",G589-$D$12)</f>
        <v/>
      </c>
    </row>
    <row r="590">
      <c r="B590" s="34" t="inlineStr">
        <is>
          <t>2023-12-13</t>
        </is>
      </c>
      <c r="C590" s="35" t="n">
        <v>431612.3258140216</v>
      </c>
      <c r="D590" s="36">
        <f>IF(C589&gt;0,C590/C589-1,"")</f>
        <v/>
      </c>
      <c r="E590" s="36">
        <f>IF(D590="","",D590-$C$12)</f>
        <v/>
      </c>
      <c r="F590" s="35" t="n">
        <v>393391.0051488484</v>
      </c>
      <c r="G590" s="36">
        <f>IF(F589&gt;0,F590/F589-1,"")</f>
        <v/>
      </c>
      <c r="H590" s="36">
        <f>IF(G590="","",G590-$D$12)</f>
        <v/>
      </c>
    </row>
    <row r="591">
      <c r="B591" s="34" t="inlineStr">
        <is>
          <t>2023-12-14</t>
        </is>
      </c>
      <c r="C591" s="35" t="n">
        <v>431126.0818386849</v>
      </c>
      <c r="D591" s="36">
        <f>IF(C590&gt;0,C591/C590-1,"")</f>
        <v/>
      </c>
      <c r="E591" s="36">
        <f>IF(D591="","",D591-$C$12)</f>
        <v/>
      </c>
      <c r="F591" s="35" t="n">
        <v>393551.3103609305</v>
      </c>
      <c r="G591" s="36">
        <f>IF(F590&gt;0,F591/F590-1,"")</f>
        <v/>
      </c>
      <c r="H591" s="36">
        <f>IF(G591="","",G591-$D$12)</f>
        <v/>
      </c>
    </row>
    <row r="592">
      <c r="B592" s="34" t="inlineStr">
        <is>
          <t>2023-12-15</t>
        </is>
      </c>
      <c r="C592" s="35" t="n">
        <v>432378.7528469442</v>
      </c>
      <c r="D592" s="36">
        <f>IF(C591&gt;0,C592/C591-1,"")</f>
        <v/>
      </c>
      <c r="E592" s="36">
        <f>IF(D592="","",D592-$C$12)</f>
        <v/>
      </c>
      <c r="F592" s="35" t="n">
        <v>394287.9095390514</v>
      </c>
      <c r="G592" s="36">
        <f>IF(F591&gt;0,F592/F591-1,"")</f>
        <v/>
      </c>
      <c r="H592" s="36">
        <f>IF(G592="","",G592-$D$12)</f>
        <v/>
      </c>
    </row>
    <row r="593">
      <c r="B593" s="34" t="inlineStr">
        <is>
          <t>2023-12-18</t>
        </is>
      </c>
      <c r="C593" s="35" t="n">
        <v>432509.8291196806</v>
      </c>
      <c r="D593" s="36">
        <f>IF(C592&gt;0,C593/C592-1,"")</f>
        <v/>
      </c>
      <c r="E593" s="36">
        <f>IF(D593="","",D593-$C$12)</f>
        <v/>
      </c>
      <c r="F593" s="35" t="n">
        <v>394210.4135637821</v>
      </c>
      <c r="G593" s="36">
        <f>IF(F592&gt;0,F593/F592-1,"")</f>
        <v/>
      </c>
      <c r="H593" s="36">
        <f>IF(G593="","",G593-$D$12)</f>
        <v/>
      </c>
    </row>
    <row r="594">
      <c r="B594" s="34" t="inlineStr">
        <is>
          <t>2023-12-19</t>
        </is>
      </c>
      <c r="C594" s="35" t="n">
        <v>431243.5985591644</v>
      </c>
      <c r="D594" s="36">
        <f>IF(C593&gt;0,C594/C593-1,"")</f>
        <v/>
      </c>
      <c r="E594" s="36">
        <f>IF(D594="","",D594-$C$12)</f>
        <v/>
      </c>
      <c r="F594" s="35" t="n">
        <v>393643.1371016694</v>
      </c>
      <c r="G594" s="36">
        <f>IF(F593&gt;0,F594/F593-1,"")</f>
        <v/>
      </c>
      <c r="H594" s="36">
        <f>IF(G594="","",G594-$D$12)</f>
        <v/>
      </c>
    </row>
    <row r="595">
      <c r="B595" s="34" t="inlineStr">
        <is>
          <t>2023-12-20</t>
        </is>
      </c>
      <c r="C595" s="35" t="n">
        <v>430746.2287978519</v>
      </c>
      <c r="D595" s="36">
        <f>IF(C594&gt;0,C595/C594-1,"")</f>
        <v/>
      </c>
      <c r="E595" s="36">
        <f>IF(D595="","",D595-$C$12)</f>
        <v/>
      </c>
      <c r="F595" s="35" t="n">
        <v>393273.9624993565</v>
      </c>
      <c r="G595" s="36">
        <f>IF(F594&gt;0,F595/F594-1,"")</f>
        <v/>
      </c>
      <c r="H595" s="36">
        <f>IF(G595="","",G595-$D$12)</f>
        <v/>
      </c>
    </row>
    <row r="596">
      <c r="B596" s="34" t="inlineStr">
        <is>
          <t>2023-12-21</t>
        </is>
      </c>
      <c r="C596" s="35" t="n">
        <v>430564.5428244512</v>
      </c>
      <c r="D596" s="36">
        <f>IF(C595&gt;0,C596/C595-1,"")</f>
        <v/>
      </c>
      <c r="E596" s="36">
        <f>IF(D596="","",D596-$C$12)</f>
        <v/>
      </c>
      <c r="F596" s="35" t="n">
        <v>393233.0603627829</v>
      </c>
      <c r="G596" s="36">
        <f>IF(F595&gt;0,F596/F595-1,"")</f>
        <v/>
      </c>
      <c r="H596" s="36">
        <f>IF(G596="","",G596-$D$12)</f>
        <v/>
      </c>
    </row>
    <row r="597">
      <c r="B597" s="34" t="inlineStr">
        <is>
          <t>2023-12-22</t>
        </is>
      </c>
      <c r="C597" s="35" t="n">
        <v>431357.4893787893</v>
      </c>
      <c r="D597" s="36">
        <f>IF(C596&gt;0,C597/C596-1,"")</f>
        <v/>
      </c>
      <c r="E597" s="36">
        <f>IF(D597="","",D597-$C$12)</f>
        <v/>
      </c>
      <c r="F597" s="35" t="n">
        <v>394004.6537811289</v>
      </c>
      <c r="G597" s="36">
        <f>IF(F596&gt;0,F597/F596-1,"")</f>
        <v/>
      </c>
      <c r="H597" s="36">
        <f>IF(G597="","",G597-$D$12)</f>
        <v/>
      </c>
    </row>
    <row r="598">
      <c r="B598" s="34" t="inlineStr">
        <is>
          <t>2023-12-26</t>
        </is>
      </c>
      <c r="C598" s="35" t="n">
        <v>431547.5304496679</v>
      </c>
      <c r="D598" s="36">
        <f>IF(C597&gt;0,C598/C597-1,"")</f>
        <v/>
      </c>
      <c r="E598" s="36">
        <f>IF(D598="","",D598-$C$12)</f>
        <v/>
      </c>
      <c r="F598" s="35" t="n">
        <v>394128.0954854893</v>
      </c>
      <c r="G598" s="36">
        <f>IF(F597&gt;0,F598/F597-1,"")</f>
        <v/>
      </c>
      <c r="H598" s="36">
        <f>IF(G598="","",G598-$D$12)</f>
        <v/>
      </c>
    </row>
    <row r="599">
      <c r="B599" s="34" t="inlineStr">
        <is>
          <t>2023-12-27</t>
        </is>
      </c>
      <c r="C599" s="35" t="n">
        <v>430740.458056739</v>
      </c>
      <c r="D599" s="36">
        <f>IF(C598&gt;0,C599/C598-1,"")</f>
        <v/>
      </c>
      <c r="E599" s="36">
        <f>IF(D599="","",D599-$C$12)</f>
        <v/>
      </c>
      <c r="F599" s="35" t="n">
        <v>393465.5958895739</v>
      </c>
      <c r="G599" s="36">
        <f>IF(F598&gt;0,F599/F598-1,"")</f>
        <v/>
      </c>
      <c r="H599" s="36">
        <f>IF(G599="","",G599-$D$12)</f>
        <v/>
      </c>
    </row>
    <row r="600">
      <c r="B600" s="34" t="inlineStr">
        <is>
          <t>2023-12-28</t>
        </is>
      </c>
      <c r="C600" s="35" t="n">
        <v>429961.5891043304</v>
      </c>
      <c r="D600" s="36">
        <f>IF(C599&gt;0,C600/C599-1,"")</f>
        <v/>
      </c>
      <c r="E600" s="36">
        <f>IF(D600="","",D600-$C$12)</f>
        <v/>
      </c>
      <c r="F600" s="35" t="n">
        <v>392640.3120043732</v>
      </c>
      <c r="G600" s="36">
        <f>IF(F599&gt;0,F600/F599-1,"")</f>
        <v/>
      </c>
      <c r="H600" s="36">
        <f>IF(G600="","",G600-$D$12)</f>
        <v/>
      </c>
    </row>
    <row r="601">
      <c r="B601" s="34" t="inlineStr">
        <is>
          <t>2023-12-29</t>
        </is>
      </c>
      <c r="C601" s="35" t="n">
        <v>430772.5572713736</v>
      </c>
      <c r="D601" s="36">
        <f>IF(C600&gt;0,C601/C600-1,"")</f>
        <v/>
      </c>
      <c r="E601" s="36">
        <f>IF(D601="","",D601-$C$12)</f>
        <v/>
      </c>
      <c r="F601" s="35" t="n">
        <v>393241.5200656839</v>
      </c>
      <c r="G601" s="36">
        <f>IF(F600&gt;0,F601/F600-1,"")</f>
        <v/>
      </c>
      <c r="H601" s="36">
        <f>IF(G601="","",G601-$D$12)</f>
        <v/>
      </c>
    </row>
    <row r="602">
      <c r="B602" s="34" t="inlineStr">
        <is>
          <t>2024-01-02</t>
        </is>
      </c>
      <c r="C602" s="35" t="n">
        <v>430688.5045182871</v>
      </c>
      <c r="D602" s="36">
        <f>IF(C601&gt;0,C602/C601-1,"")</f>
        <v/>
      </c>
      <c r="E602" s="36">
        <f>IF(D602="","",D602-$C$12)</f>
        <v/>
      </c>
      <c r="F602" s="35" t="n">
        <v>393250.1998565238</v>
      </c>
      <c r="G602" s="36">
        <f>IF(F601&gt;0,F602/F601-1,"")</f>
        <v/>
      </c>
      <c r="H602" s="36">
        <f>IF(G602="","",G602-$D$12)</f>
        <v/>
      </c>
    </row>
    <row r="603">
      <c r="B603" s="34" t="inlineStr">
        <is>
          <t>2024-01-03</t>
        </is>
      </c>
      <c r="C603" s="35" t="n">
        <v>431287.7814955936</v>
      </c>
      <c r="D603" s="36">
        <f>IF(C602&gt;0,C603/C602-1,"")</f>
        <v/>
      </c>
      <c r="E603" s="36">
        <f>IF(D603="","",D603-$C$12)</f>
        <v/>
      </c>
      <c r="F603" s="35" t="n">
        <v>393744.4858593042</v>
      </c>
      <c r="G603" s="36">
        <f>IF(F602&gt;0,F603/F602-1,"")</f>
        <v/>
      </c>
      <c r="H603" s="36">
        <f>IF(G603="","",G603-$D$12)</f>
        <v/>
      </c>
    </row>
    <row r="604">
      <c r="B604" s="34" t="inlineStr">
        <is>
          <t>2024-01-04</t>
        </is>
      </c>
      <c r="C604" s="35" t="n">
        <v>433559.6740443244</v>
      </c>
      <c r="D604" s="36">
        <f>IF(C603&gt;0,C604/C603-1,"")</f>
        <v/>
      </c>
      <c r="E604" s="36">
        <f>IF(D604="","",D604-$C$12)</f>
        <v/>
      </c>
      <c r="F604" s="35" t="n">
        <v>395862.0078987032</v>
      </c>
      <c r="G604" s="36">
        <f>IF(F603&gt;0,F604/F603-1,"")</f>
        <v/>
      </c>
      <c r="H604" s="36">
        <f>IF(G604="","",G604-$D$12)</f>
        <v/>
      </c>
    </row>
    <row r="605">
      <c r="B605" s="34" t="inlineStr">
        <is>
          <t>2024-01-05</t>
        </is>
      </c>
      <c r="C605" s="35" t="n">
        <v>432933.2866698006</v>
      </c>
      <c r="D605" s="36">
        <f>IF(C604&gt;0,C605/C604-1,"")</f>
        <v/>
      </c>
      <c r="E605" s="36">
        <f>IF(D605="","",D605-$C$12)</f>
        <v/>
      </c>
      <c r="F605" s="35" t="n">
        <v>395159.6812570252</v>
      </c>
      <c r="G605" s="36">
        <f>IF(F604&gt;0,F605/F604-1,"")</f>
        <v/>
      </c>
      <c r="H605" s="36">
        <f>IF(G605="","",G605-$D$12)</f>
        <v/>
      </c>
    </row>
    <row r="606">
      <c r="B606" s="34" t="inlineStr">
        <is>
          <t>2024-01-08</t>
        </is>
      </c>
      <c r="C606" s="35" t="n">
        <v>434301.9912452294</v>
      </c>
      <c r="D606" s="36">
        <f>IF(C605&gt;0,C606/C605-1,"")</f>
        <v/>
      </c>
      <c r="E606" s="36">
        <f>IF(D606="","",D606-$C$12)</f>
        <v/>
      </c>
      <c r="F606" s="35" t="n">
        <v>396252.8501082252</v>
      </c>
      <c r="G606" s="36">
        <f>IF(F605&gt;0,F606/F605-1,"")</f>
        <v/>
      </c>
      <c r="H606" s="36">
        <f>IF(G606="","",G606-$D$12)</f>
        <v/>
      </c>
    </row>
    <row r="607">
      <c r="B607" s="34" t="inlineStr">
        <is>
          <t>2024-01-09</t>
        </is>
      </c>
      <c r="C607" s="35" t="n">
        <v>435373.1248091595</v>
      </c>
      <c r="D607" s="36">
        <f>IF(C606&gt;0,C607/C606-1,"")</f>
        <v/>
      </c>
      <c r="E607" s="36">
        <f>IF(D607="","",D607-$C$12)</f>
        <v/>
      </c>
      <c r="F607" s="35" t="n">
        <v>397072.746978438</v>
      </c>
      <c r="G607" s="36">
        <f>IF(F606&gt;0,F607/F606-1,"")</f>
        <v/>
      </c>
      <c r="H607" s="36">
        <f>IF(G607="","",G607-$D$12)</f>
        <v/>
      </c>
    </row>
    <row r="608">
      <c r="B608" s="34" t="inlineStr">
        <is>
          <t>2024-01-10</t>
        </is>
      </c>
      <c r="C608" s="35" t="n">
        <v>435796.9562320427</v>
      </c>
      <c r="D608" s="36">
        <f>IF(C607&gt;0,C608/C607-1,"")</f>
        <v/>
      </c>
      <c r="E608" s="36">
        <f>IF(D608="","",D608-$C$12)</f>
        <v/>
      </c>
      <c r="F608" s="35" t="n">
        <v>397168.3467442128</v>
      </c>
      <c r="G608" s="36">
        <f>IF(F607&gt;0,F608/F607-1,"")</f>
        <v/>
      </c>
      <c r="H608" s="36">
        <f>IF(G608="","",G608-$D$12)</f>
        <v/>
      </c>
    </row>
    <row r="609">
      <c r="B609" s="34" t="inlineStr">
        <is>
          <t>2024-01-11</t>
        </is>
      </c>
      <c r="C609" s="35" t="n">
        <v>434809.628748876</v>
      </c>
      <c r="D609" s="36">
        <f>IF(C608&gt;0,C609/C608-1,"")</f>
        <v/>
      </c>
      <c r="E609" s="36">
        <f>IF(D609="","",D609-$C$12)</f>
        <v/>
      </c>
      <c r="F609" s="35" t="n">
        <v>396593.7695233843</v>
      </c>
      <c r="G609" s="36">
        <f>IF(F608&gt;0,F609/F608-1,"")</f>
        <v/>
      </c>
      <c r="H609" s="36">
        <f>IF(G609="","",G609-$D$12)</f>
        <v/>
      </c>
    </row>
    <row r="610">
      <c r="B610" s="34" t="inlineStr">
        <is>
          <t>2024-01-12</t>
        </is>
      </c>
      <c r="C610" s="35" t="n">
        <v>436205.180030816</v>
      </c>
      <c r="D610" s="36">
        <f>IF(C609&gt;0,C610/C609-1,"")</f>
        <v/>
      </c>
      <c r="E610" s="36">
        <f>IF(D610="","",D610-$C$12)</f>
        <v/>
      </c>
      <c r="F610" s="35" t="n">
        <v>397628.9566114029</v>
      </c>
      <c r="G610" s="36">
        <f>IF(F609&gt;0,F610/F609-1,"")</f>
        <v/>
      </c>
      <c r="H610" s="36">
        <f>IF(G610="","",G610-$D$12)</f>
        <v/>
      </c>
    </row>
    <row r="611">
      <c r="B611" s="34" t="inlineStr">
        <is>
          <t>2024-01-15</t>
        </is>
      </c>
      <c r="C611" s="35" t="n">
        <v>435826.2631186485</v>
      </c>
      <c r="D611" s="36">
        <f>IF(C610&gt;0,C611/C610-1,"")</f>
        <v/>
      </c>
      <c r="E611" s="36">
        <f>IF(D611="","",D611-$C$12)</f>
        <v/>
      </c>
      <c r="F611" s="35" t="n">
        <v>397177.5952502832</v>
      </c>
      <c r="G611" s="36">
        <f>IF(F610&gt;0,F611/F610-1,"")</f>
        <v/>
      </c>
      <c r="H611" s="36">
        <f>IF(G611="","",G611-$D$12)</f>
        <v/>
      </c>
    </row>
    <row r="612">
      <c r="B612" s="34" t="inlineStr">
        <is>
          <t>2024-01-16</t>
        </is>
      </c>
      <c r="C612" s="35" t="n">
        <v>437509.6957666524</v>
      </c>
      <c r="D612" s="36">
        <f>IF(C611&gt;0,C612/C611-1,"")</f>
        <v/>
      </c>
      <c r="E612" s="36">
        <f>IF(D612="","",D612-$C$12)</f>
        <v/>
      </c>
      <c r="F612" s="35" t="n">
        <v>397823.0374232581</v>
      </c>
      <c r="G612" s="36">
        <f>IF(F611&gt;0,F612/F611-1,"")</f>
        <v/>
      </c>
      <c r="H612" s="36">
        <f>IF(G612="","",G612-$D$12)</f>
        <v/>
      </c>
    </row>
    <row r="613">
      <c r="B613" s="34" t="inlineStr">
        <is>
          <t>2024-01-17</t>
        </is>
      </c>
      <c r="C613" s="35" t="n">
        <v>435141.6049564494</v>
      </c>
      <c r="D613" s="36">
        <f>IF(C612&gt;0,C613/C612-1,"")</f>
        <v/>
      </c>
      <c r="E613" s="36">
        <f>IF(D613="","",D613-$C$12)</f>
        <v/>
      </c>
      <c r="F613" s="35" t="n">
        <v>395895.184786258</v>
      </c>
      <c r="G613" s="36">
        <f>IF(F612&gt;0,F613/F612-1,"")</f>
        <v/>
      </c>
      <c r="H613" s="36">
        <f>IF(G613="","",G613-$D$12)</f>
        <v/>
      </c>
    </row>
    <row r="614">
      <c r="B614" s="34" t="inlineStr">
        <is>
          <t>2024-01-18</t>
        </is>
      </c>
      <c r="C614" s="35" t="n">
        <v>435390.8404561509</v>
      </c>
      <c r="D614" s="36">
        <f>IF(C613&gt;0,C614/C613-1,"")</f>
        <v/>
      </c>
      <c r="E614" s="36">
        <f>IF(D614="","",D614-$C$12)</f>
        <v/>
      </c>
      <c r="F614" s="35" t="n">
        <v>396058.8697128664</v>
      </c>
      <c r="G614" s="36">
        <f>IF(F613&gt;0,F614/F613-1,"")</f>
        <v/>
      </c>
      <c r="H614" s="36">
        <f>IF(G614="","",G614-$D$12)</f>
        <v/>
      </c>
    </row>
    <row r="615">
      <c r="B615" s="34" t="inlineStr">
        <is>
          <t>2024-01-19</t>
        </is>
      </c>
      <c r="C615" s="35" t="n">
        <v>435894.290819947</v>
      </c>
      <c r="D615" s="36">
        <f>IF(C614&gt;0,C615/C614-1,"")</f>
        <v/>
      </c>
      <c r="E615" s="36">
        <f>IF(D615="","",D615-$C$12)</f>
        <v/>
      </c>
      <c r="F615" s="35" t="n">
        <v>395746.9892555187</v>
      </c>
      <c r="G615" s="36">
        <f>IF(F614&gt;0,F615/F614-1,"")</f>
        <v/>
      </c>
      <c r="H615" s="36">
        <f>IF(G615="","",G615-$D$12)</f>
        <v/>
      </c>
    </row>
    <row r="616">
      <c r="B616" s="34" t="inlineStr">
        <is>
          <t>2024-01-22</t>
        </is>
      </c>
      <c r="C616" s="35" t="n">
        <v>437961.2407130605</v>
      </c>
      <c r="D616" s="36">
        <f>IF(C615&gt;0,C616/C615-1,"")</f>
        <v/>
      </c>
      <c r="E616" s="36">
        <f>IF(D616="","",D616-$C$12)</f>
        <v/>
      </c>
      <c r="F616" s="35" t="n">
        <v>397888.4662178443</v>
      </c>
      <c r="G616" s="36">
        <f>IF(F615&gt;0,F616/F615-1,"")</f>
        <v/>
      </c>
      <c r="H616" s="36">
        <f>IF(G616="","",G616-$D$12)</f>
        <v/>
      </c>
    </row>
    <row r="617">
      <c r="B617" s="34" t="inlineStr">
        <is>
          <t>2024-01-23</t>
        </is>
      </c>
      <c r="C617" s="35" t="n">
        <v>436192.8006612219</v>
      </c>
      <c r="D617" s="36">
        <f>IF(C616&gt;0,C617/C616-1,"")</f>
        <v/>
      </c>
      <c r="E617" s="36">
        <f>IF(D617="","",D617-$C$12)</f>
        <v/>
      </c>
      <c r="F617" s="35" t="n">
        <v>396277.1780581315</v>
      </c>
      <c r="G617" s="36">
        <f>IF(F616&gt;0,F617/F616-1,"")</f>
        <v/>
      </c>
      <c r="H617" s="36">
        <f>IF(G617="","",G617-$D$12)</f>
        <v/>
      </c>
    </row>
    <row r="618">
      <c r="B618" s="34" t="inlineStr">
        <is>
          <t>2024-01-24</t>
        </is>
      </c>
      <c r="C618" s="35" t="n">
        <v>436994.1904064491</v>
      </c>
      <c r="D618" s="36">
        <f>IF(C617&gt;0,C618/C617-1,"")</f>
        <v/>
      </c>
      <c r="E618" s="36">
        <f>IF(D618="","",D618-$C$12)</f>
        <v/>
      </c>
      <c r="F618" s="35" t="n">
        <v>396805.1829885235</v>
      </c>
      <c r="G618" s="36">
        <f>IF(F617&gt;0,F618/F617-1,"")</f>
        <v/>
      </c>
      <c r="H618" s="36">
        <f>IF(G618="","",G618-$D$12)</f>
        <v/>
      </c>
    </row>
    <row r="619">
      <c r="B619" s="34" t="inlineStr">
        <is>
          <t>2024-01-25</t>
        </is>
      </c>
      <c r="C619" s="35" t="n">
        <v>437884.1012113587</v>
      </c>
      <c r="D619" s="36">
        <f>IF(C618&gt;0,C619/C618-1,"")</f>
        <v/>
      </c>
      <c r="E619" s="36">
        <f>IF(D619="","",D619-$C$12)</f>
        <v/>
      </c>
      <c r="F619" s="35" t="n">
        <v>397436.2786270197</v>
      </c>
      <c r="G619" s="36">
        <f>IF(F618&gt;0,F619/F618-1,"")</f>
        <v/>
      </c>
      <c r="H619" s="36">
        <f>IF(G619="","",G619-$D$12)</f>
        <v/>
      </c>
    </row>
    <row r="620">
      <c r="B620" s="34" t="inlineStr">
        <is>
          <t>2024-01-26</t>
        </is>
      </c>
      <c r="C620" s="35" t="n">
        <v>439823.151578571</v>
      </c>
      <c r="D620" s="36">
        <f>IF(C619&gt;0,C620/C619-1,"")</f>
        <v/>
      </c>
      <c r="E620" s="36">
        <f>IF(D620="","",D620-$C$12)</f>
        <v/>
      </c>
      <c r="F620" s="35" t="n">
        <v>399262.7792528652</v>
      </c>
      <c r="G620" s="36">
        <f>IF(F619&gt;0,F620/F619-1,"")</f>
        <v/>
      </c>
      <c r="H620" s="36">
        <f>IF(G620="","",G620-$D$12)</f>
        <v/>
      </c>
    </row>
    <row r="621">
      <c r="B621" s="34" t="inlineStr">
        <is>
          <t>2024-01-29</t>
        </is>
      </c>
      <c r="C621" s="35" t="n">
        <v>441185.3970399506</v>
      </c>
      <c r="D621" s="36">
        <f>IF(C620&gt;0,C621/C620-1,"")</f>
        <v/>
      </c>
      <c r="E621" s="36">
        <f>IF(D621="","",D621-$C$12)</f>
        <v/>
      </c>
      <c r="F621" s="35" t="n">
        <v>399988.9600260246</v>
      </c>
      <c r="G621" s="36">
        <f>IF(F620&gt;0,F621/F620-1,"")</f>
        <v/>
      </c>
      <c r="H621" s="36">
        <f>IF(G621="","",G621-$D$12)</f>
        <v/>
      </c>
    </row>
    <row r="622">
      <c r="B622" s="34" t="inlineStr">
        <is>
          <t>2024-01-30</t>
        </is>
      </c>
      <c r="C622" s="35" t="n">
        <v>441189.2987546853</v>
      </c>
      <c r="D622" s="36">
        <f>IF(C621&gt;0,C622/C621-1,"")</f>
        <v/>
      </c>
      <c r="E622" s="36">
        <f>IF(D622="","",D622-$C$12)</f>
        <v/>
      </c>
      <c r="F622" s="35" t="n">
        <v>400211.1958757149</v>
      </c>
      <c r="G622" s="36">
        <f>IF(F621&gt;0,F622/F621-1,"")</f>
        <v/>
      </c>
      <c r="H622" s="36">
        <f>IF(G622="","",G622-$D$12)</f>
        <v/>
      </c>
    </row>
    <row r="623">
      <c r="B623" s="34" t="inlineStr">
        <is>
          <t>2024-01-31</t>
        </is>
      </c>
      <c r="C623" s="35" t="n">
        <v>439803.1898338157</v>
      </c>
      <c r="D623" s="36">
        <f>IF(C622&gt;0,C623/C622-1,"")</f>
        <v/>
      </c>
      <c r="E623" s="36">
        <f>IF(D623="","",D623-$C$12)</f>
        <v/>
      </c>
      <c r="F623" s="35" t="n">
        <v>399517.1275127092</v>
      </c>
      <c r="G623" s="36">
        <f>IF(F622&gt;0,F623/F622-1,"")</f>
        <v/>
      </c>
      <c r="H623" s="36">
        <f>IF(G623="","",G623-$D$12)</f>
        <v/>
      </c>
    </row>
    <row r="624">
      <c r="B624" s="34" t="inlineStr">
        <is>
          <t>2024-02-01</t>
        </is>
      </c>
      <c r="C624" s="35" t="n">
        <v>438776.5534246498</v>
      </c>
      <c r="D624" s="36">
        <f>IF(C623&gt;0,C624/C623-1,"")</f>
        <v/>
      </c>
      <c r="E624" s="36">
        <f>IF(D624="","",D624-$C$12)</f>
        <v/>
      </c>
      <c r="F624" s="35" t="n">
        <v>398068.8815568421</v>
      </c>
      <c r="G624" s="36">
        <f>IF(F623&gt;0,F624/F623-1,"")</f>
        <v/>
      </c>
      <c r="H624" s="36">
        <f>IF(G624="","",G624-$D$12)</f>
        <v/>
      </c>
    </row>
    <row r="625">
      <c r="B625" s="34" t="inlineStr">
        <is>
          <t>2024-02-02</t>
        </is>
      </c>
      <c r="C625" s="35" t="n">
        <v>441087.3828869425</v>
      </c>
      <c r="D625" s="36">
        <f>IF(C624&gt;0,C625/C624-1,"")</f>
        <v/>
      </c>
      <c r="E625" s="36">
        <f>IF(D625="","",D625-$C$12)</f>
        <v/>
      </c>
      <c r="F625" s="35" t="n">
        <v>399336.6042722253</v>
      </c>
      <c r="G625" s="36">
        <f>IF(F624&gt;0,F625/F624-1,"")</f>
        <v/>
      </c>
      <c r="H625" s="36">
        <f>IF(G625="","",G625-$D$12)</f>
        <v/>
      </c>
    </row>
    <row r="626">
      <c r="B626" s="34" t="inlineStr">
        <is>
          <t>2024-02-05</t>
        </is>
      </c>
      <c r="C626" s="35" t="n">
        <v>443141.0734041788</v>
      </c>
      <c r="D626" s="36">
        <f>IF(C625&gt;0,C626/C625-1,"")</f>
        <v/>
      </c>
      <c r="E626" s="36">
        <f>IF(D626="","",D626-$C$12)</f>
        <v/>
      </c>
      <c r="F626" s="35" t="n">
        <v>400279.3333702283</v>
      </c>
      <c r="G626" s="36">
        <f>IF(F625&gt;0,F626/F625-1,"")</f>
        <v/>
      </c>
      <c r="H626" s="36">
        <f>IF(G626="","",G626-$D$12)</f>
        <v/>
      </c>
    </row>
    <row r="627">
      <c r="B627" s="34" t="inlineStr">
        <is>
          <t>2024-02-06</t>
        </is>
      </c>
      <c r="C627" s="35" t="n">
        <v>443959.8624929034</v>
      </c>
      <c r="D627" s="36">
        <f>IF(C626&gt;0,C627/C626-1,"")</f>
        <v/>
      </c>
      <c r="E627" s="36">
        <f>IF(D627="","",D627-$C$12)</f>
        <v/>
      </c>
      <c r="F627" s="35" t="n">
        <v>400629.4948587121</v>
      </c>
      <c r="G627" s="36">
        <f>IF(F626&gt;0,F627/F626-1,"")</f>
        <v/>
      </c>
      <c r="H627" s="36">
        <f>IF(G627="","",G627-$D$12)</f>
        <v/>
      </c>
    </row>
    <row r="628">
      <c r="B628" s="34" t="inlineStr">
        <is>
          <t>2024-02-07</t>
        </is>
      </c>
      <c r="C628" s="35" t="n">
        <v>445040.106088621</v>
      </c>
      <c r="D628" s="36">
        <f>IF(C627&gt;0,C628/C627-1,"")</f>
        <v/>
      </c>
      <c r="E628" s="36">
        <f>IF(D628="","",D628-$C$12)</f>
        <v/>
      </c>
      <c r="F628" s="35" t="n">
        <v>401408.8107609613</v>
      </c>
      <c r="G628" s="36">
        <f>IF(F627&gt;0,F628/F627-1,"")</f>
        <v/>
      </c>
      <c r="H628" s="36">
        <f>IF(G628="","",G628-$D$12)</f>
        <v/>
      </c>
    </row>
    <row r="629">
      <c r="B629" s="34" t="inlineStr">
        <is>
          <t>2024-02-08</t>
        </is>
      </c>
      <c r="C629" s="35" t="n">
        <v>443049.1699736334</v>
      </c>
      <c r="D629" s="36">
        <f>IF(C628&gt;0,C629/C628-1,"")</f>
        <v/>
      </c>
      <c r="E629" s="36">
        <f>IF(D629="","",D629-$C$12)</f>
        <v/>
      </c>
      <c r="F629" s="35" t="n">
        <v>399955.0075039293</v>
      </c>
      <c r="G629" s="36">
        <f>IF(F628&gt;0,F629/F628-1,"")</f>
        <v/>
      </c>
      <c r="H629" s="36">
        <f>IF(G629="","",G629-$D$12)</f>
        <v/>
      </c>
    </row>
    <row r="630">
      <c r="B630" s="34" t="inlineStr">
        <is>
          <t>2024-02-09</t>
        </is>
      </c>
      <c r="C630" s="35" t="n">
        <v>443669.8332935848</v>
      </c>
      <c r="D630" s="36">
        <f>IF(C629&gt;0,C630/C629-1,"")</f>
        <v/>
      </c>
      <c r="E630" s="36">
        <f>IF(D630="","",D630-$C$12)</f>
        <v/>
      </c>
      <c r="F630" s="35" t="n">
        <v>400185.2276224234</v>
      </c>
      <c r="G630" s="36">
        <f>IF(F629&gt;0,F630/F629-1,"")</f>
        <v/>
      </c>
      <c r="H630" s="36">
        <f>IF(G630="","",G630-$D$12)</f>
        <v/>
      </c>
    </row>
    <row r="631">
      <c r="B631" s="34" t="inlineStr">
        <is>
          <t>2024-02-12</t>
        </is>
      </c>
      <c r="C631" s="35" t="n">
        <v>445401.9968710569</v>
      </c>
      <c r="D631" s="36">
        <f>IF(C630&gt;0,C631/C630-1,"")</f>
        <v/>
      </c>
      <c r="E631" s="36">
        <f>IF(D631="","",D631-$C$12)</f>
        <v/>
      </c>
      <c r="F631" s="35" t="n">
        <v>401601.8543428369</v>
      </c>
      <c r="G631" s="36">
        <f>IF(F630&gt;0,F631/F630-1,"")</f>
        <v/>
      </c>
      <c r="H631" s="36">
        <f>IF(G631="","",G631-$D$12)</f>
        <v/>
      </c>
    </row>
    <row r="632">
      <c r="B632" s="34" t="inlineStr">
        <is>
          <t>2024-02-13</t>
        </is>
      </c>
      <c r="C632" s="35" t="n">
        <v>445038.6567125121</v>
      </c>
      <c r="D632" s="36">
        <f>IF(C631&gt;0,C632/C631-1,"")</f>
        <v/>
      </c>
      <c r="E632" s="36">
        <f>IF(D632="","",D632-$C$12)</f>
        <v/>
      </c>
      <c r="F632" s="35" t="n">
        <v>400842.4100474112</v>
      </c>
      <c r="G632" s="36">
        <f>IF(F631&gt;0,F632/F631-1,"")</f>
        <v/>
      </c>
      <c r="H632" s="36">
        <f>IF(G632="","",G632-$D$12)</f>
        <v/>
      </c>
    </row>
    <row r="633">
      <c r="B633" s="34" t="inlineStr">
        <is>
          <t>2024-02-14</t>
        </is>
      </c>
      <c r="C633" s="35" t="n">
        <v>447981.9117862248</v>
      </c>
      <c r="D633" s="36">
        <f>IF(C632&gt;0,C633/C632-1,"")</f>
        <v/>
      </c>
      <c r="E633" s="36">
        <f>IF(D633="","",D633-$C$12)</f>
        <v/>
      </c>
      <c r="F633" s="35" t="n">
        <v>403282.8473523651</v>
      </c>
      <c r="G633" s="36">
        <f>IF(F632&gt;0,F633/F632-1,"")</f>
        <v/>
      </c>
      <c r="H633" s="36">
        <f>IF(G633="","",G633-$D$12)</f>
        <v/>
      </c>
    </row>
    <row r="634">
      <c r="B634" s="34" t="inlineStr">
        <is>
          <t>2024-02-15</t>
        </is>
      </c>
      <c r="C634" s="35" t="n">
        <v>448814.3866510225</v>
      </c>
      <c r="D634" s="36">
        <f>IF(C633&gt;0,C634/C633-1,"")</f>
        <v/>
      </c>
      <c r="E634" s="36">
        <f>IF(D634="","",D634-$C$12)</f>
        <v/>
      </c>
      <c r="F634" s="35" t="n">
        <v>404304.2412712465</v>
      </c>
      <c r="G634" s="36">
        <f>IF(F633&gt;0,F634/F633-1,"")</f>
        <v/>
      </c>
      <c r="H634" s="36">
        <f>IF(G634="","",G634-$D$12)</f>
        <v/>
      </c>
    </row>
    <row r="635">
      <c r="B635" s="34" t="inlineStr">
        <is>
          <t>2024-02-16</t>
        </is>
      </c>
      <c r="C635" s="35" t="n">
        <v>449009.7025699446</v>
      </c>
      <c r="D635" s="36">
        <f>IF(C634&gt;0,C635/C634-1,"")</f>
        <v/>
      </c>
      <c r="E635" s="36">
        <f>IF(D635="","",D635-$C$12)</f>
        <v/>
      </c>
      <c r="F635" s="35" t="n">
        <v>404600.9886470674</v>
      </c>
      <c r="G635" s="36">
        <f>IF(F634&gt;0,F635/F634-1,"")</f>
        <v/>
      </c>
      <c r="H635" s="36">
        <f>IF(G635="","",G635-$D$12)</f>
        <v/>
      </c>
    </row>
    <row r="636">
      <c r="B636" s="34" t="inlineStr">
        <is>
          <t>2024-02-19</t>
        </is>
      </c>
      <c r="C636" s="35" t="n">
        <v>450715.5983164586</v>
      </c>
      <c r="D636" s="36">
        <f>IF(C635&gt;0,C636/C635-1,"")</f>
        <v/>
      </c>
      <c r="E636" s="36">
        <f>IF(D636="","",D636-$C$12)</f>
        <v/>
      </c>
      <c r="F636" s="35" t="n">
        <v>406040.8239436653</v>
      </c>
      <c r="G636" s="36">
        <f>IF(F635&gt;0,F636/F635-1,"")</f>
        <v/>
      </c>
      <c r="H636" s="36">
        <f>IF(G636="","",G636-$D$12)</f>
        <v/>
      </c>
    </row>
    <row r="637">
      <c r="B637" s="34" t="inlineStr">
        <is>
          <t>2024-02-20</t>
        </is>
      </c>
      <c r="C637" s="35" t="n">
        <v>450018.8991271422</v>
      </c>
      <c r="D637" s="36">
        <f>IF(C636&gt;0,C637/C636-1,"")</f>
        <v/>
      </c>
      <c r="E637" s="36">
        <f>IF(D637="","",D637-$C$12)</f>
        <v/>
      </c>
      <c r="F637" s="35" t="n">
        <v>405755.7805466988</v>
      </c>
      <c r="G637" s="36">
        <f>IF(F636&gt;0,F637/F636-1,"")</f>
        <v/>
      </c>
      <c r="H637" s="36">
        <f>IF(G637="","",G637-$D$12)</f>
        <v/>
      </c>
    </row>
    <row r="638">
      <c r="B638" s="34" t="inlineStr">
        <is>
          <t>2024-02-21</t>
        </is>
      </c>
      <c r="C638" s="35" t="n">
        <v>448359.3028919529</v>
      </c>
      <c r="D638" s="36">
        <f>IF(C637&gt;0,C638/C637-1,"")</f>
        <v/>
      </c>
      <c r="E638" s="36">
        <f>IF(D638="","",D638-$C$12)</f>
        <v/>
      </c>
      <c r="F638" s="35" t="n">
        <v>404845.5411213582</v>
      </c>
      <c r="G638" s="36">
        <f>IF(F637&gt;0,F638/F637-1,"")</f>
        <v/>
      </c>
      <c r="H638" s="36">
        <f>IF(G638="","",G638-$D$12)</f>
        <v/>
      </c>
    </row>
    <row r="639">
      <c r="B639" s="34" t="inlineStr">
        <is>
          <t>2024-02-22</t>
        </is>
      </c>
      <c r="C639" s="35" t="n">
        <v>453870.0476324826</v>
      </c>
      <c r="D639" s="36">
        <f>IF(C638&gt;0,C639/C638-1,"")</f>
        <v/>
      </c>
      <c r="E639" s="36">
        <f>IF(D639="","",D639-$C$12)</f>
        <v/>
      </c>
      <c r="F639" s="35" t="n">
        <v>407748.7693095487</v>
      </c>
      <c r="G639" s="36">
        <f>IF(F638&gt;0,F639/F638-1,"")</f>
        <v/>
      </c>
      <c r="H639" s="36">
        <f>IF(G639="","",G639-$D$12)</f>
        <v/>
      </c>
    </row>
    <row r="640">
      <c r="B640" s="34" t="inlineStr">
        <is>
          <t>2024-02-23</t>
        </is>
      </c>
      <c r="C640" s="35" t="n">
        <v>455247.8485692848</v>
      </c>
      <c r="D640" s="36">
        <f>IF(C639&gt;0,C640/C639-1,"")</f>
        <v/>
      </c>
      <c r="E640" s="36">
        <f>IF(D640="","",D640-$C$12)</f>
        <v/>
      </c>
      <c r="F640" s="35" t="n">
        <v>408850.5034471616</v>
      </c>
      <c r="G640" s="36">
        <f>IF(F639&gt;0,F640/F639-1,"")</f>
        <v/>
      </c>
      <c r="H640" s="36">
        <f>IF(G640="","",G640-$D$12)</f>
        <v/>
      </c>
    </row>
    <row r="641">
      <c r="B641" s="34" t="inlineStr">
        <is>
          <t>2024-02-26</t>
        </is>
      </c>
      <c r="C641" s="35" t="n">
        <v>454270.9587311076</v>
      </c>
      <c r="D641" s="36">
        <f>IF(C640&gt;0,C641/C640-1,"")</f>
        <v/>
      </c>
      <c r="E641" s="36">
        <f>IF(D641="","",D641-$C$12)</f>
        <v/>
      </c>
      <c r="F641" s="35" t="n">
        <v>407992.2255382068</v>
      </c>
      <c r="G641" s="36">
        <f>IF(F640&gt;0,F641/F640-1,"")</f>
        <v/>
      </c>
      <c r="H641" s="36">
        <f>IF(G641="","",G641-$D$12)</f>
        <v/>
      </c>
    </row>
    <row r="642">
      <c r="B642" s="34" t="inlineStr">
        <is>
          <t>2024-02-27</t>
        </is>
      </c>
      <c r="C642" s="35" t="n">
        <v>454187.6456412832</v>
      </c>
      <c r="D642" s="36">
        <f>IF(C641&gt;0,C642/C641-1,"")</f>
        <v/>
      </c>
      <c r="E642" s="36">
        <f>IF(D642="","",D642-$C$12)</f>
        <v/>
      </c>
      <c r="F642" s="35" t="n">
        <v>408101.5812036562</v>
      </c>
      <c r="G642" s="36">
        <f>IF(F641&gt;0,F642/F641-1,"")</f>
        <v/>
      </c>
      <c r="H642" s="36">
        <f>IF(G642="","",G642-$D$12)</f>
        <v/>
      </c>
    </row>
    <row r="643">
      <c r="B643" s="34" t="inlineStr">
        <is>
          <t>2024-02-28</t>
        </is>
      </c>
      <c r="C643" s="35" t="n">
        <v>453529.1105797837</v>
      </c>
      <c r="D643" s="36">
        <f>IF(C642&gt;0,C643/C642-1,"")</f>
        <v/>
      </c>
      <c r="E643" s="36">
        <f>IF(D643="","",D643-$C$12)</f>
        <v/>
      </c>
      <c r="F643" s="35" t="n">
        <v>407780.1956371061</v>
      </c>
      <c r="G643" s="36">
        <f>IF(F642&gt;0,F643/F642-1,"")</f>
        <v/>
      </c>
      <c r="H643" s="36">
        <f>IF(G643="","",G643-$D$12)</f>
        <v/>
      </c>
    </row>
    <row r="644">
      <c r="B644" s="34" t="inlineStr">
        <is>
          <t>2024-02-29</t>
        </is>
      </c>
      <c r="C644" s="35" t="n">
        <v>454773.8048790752</v>
      </c>
      <c r="D644" s="36">
        <f>IF(C643&gt;0,C644/C643-1,"")</f>
        <v/>
      </c>
      <c r="E644" s="36">
        <f>IF(D644="","",D644-$C$12)</f>
        <v/>
      </c>
      <c r="F644" s="35" t="n">
        <v>408594.987369465</v>
      </c>
      <c r="G644" s="36">
        <f>IF(F643&gt;0,F644/F643-1,"")</f>
        <v/>
      </c>
      <c r="H644" s="36">
        <f>IF(G644="","",G644-$D$12)</f>
        <v/>
      </c>
    </row>
    <row r="645">
      <c r="B645" s="34" t="inlineStr">
        <is>
          <t>2024-03-01</t>
        </is>
      </c>
      <c r="C645" s="35" t="n">
        <v>457190.2647823023</v>
      </c>
      <c r="D645" s="36">
        <f>IF(C644&gt;0,C645/C644-1,"")</f>
        <v/>
      </c>
      <c r="E645" s="36">
        <f>IF(D645="","",D645-$C$12)</f>
        <v/>
      </c>
      <c r="F645" s="35" t="n">
        <v>409395.1675450591</v>
      </c>
      <c r="G645" s="36">
        <f>IF(F644&gt;0,F645/F644-1,"")</f>
        <v/>
      </c>
      <c r="H645" s="36">
        <f>IF(G645="","",G645-$D$12)</f>
        <v/>
      </c>
    </row>
    <row r="646">
      <c r="B646" s="34" t="inlineStr">
        <is>
          <t>2024-03-04</t>
        </is>
      </c>
      <c r="C646" s="35" t="n">
        <v>459276.6028655926</v>
      </c>
      <c r="D646" s="36">
        <f>IF(C645&gt;0,C646/C645-1,"")</f>
        <v/>
      </c>
      <c r="E646" s="36">
        <f>IF(D646="","",D646-$C$12)</f>
        <v/>
      </c>
      <c r="F646" s="35" t="n">
        <v>410427.4476370798</v>
      </c>
      <c r="G646" s="36">
        <f>IF(F645&gt;0,F646/F645-1,"")</f>
        <v/>
      </c>
      <c r="H646" s="36">
        <f>IF(G646="","",G646-$D$12)</f>
        <v/>
      </c>
    </row>
    <row r="647">
      <c r="B647" s="34" t="inlineStr">
        <is>
          <t>2024-03-05</t>
        </is>
      </c>
      <c r="C647" s="35" t="n">
        <v>459848.6655493311</v>
      </c>
      <c r="D647" s="36">
        <f>IF(C646&gt;0,C647/C646-1,"")</f>
        <v/>
      </c>
      <c r="E647" s="36">
        <f>IF(D647="","",D647-$C$12)</f>
        <v/>
      </c>
      <c r="F647" s="35" t="n">
        <v>410626.8337435919</v>
      </c>
      <c r="G647" s="36">
        <f>IF(F646&gt;0,F647/F646-1,"")</f>
        <v/>
      </c>
      <c r="H647" s="36">
        <f>IF(G647="","",G647-$D$12)</f>
        <v/>
      </c>
    </row>
    <row r="648">
      <c r="B648" s="34" t="inlineStr">
        <is>
          <t>2024-03-06</t>
        </is>
      </c>
      <c r="C648" s="35" t="n">
        <v>461865.8942868021</v>
      </c>
      <c r="D648" s="36">
        <f>IF(C647&gt;0,C648/C647-1,"")</f>
        <v/>
      </c>
      <c r="E648" s="36">
        <f>IF(D648="","",D648-$C$12)</f>
        <v/>
      </c>
      <c r="F648" s="35" t="n">
        <v>412102.3300153051</v>
      </c>
      <c r="G648" s="36">
        <f>IF(F647&gt;0,F648/F647-1,"")</f>
        <v/>
      </c>
      <c r="H648" s="36">
        <f>IF(G648="","",G648-$D$12)</f>
        <v/>
      </c>
    </row>
    <row r="649">
      <c r="B649" s="34" t="inlineStr">
        <is>
          <t>2024-03-07</t>
        </is>
      </c>
      <c r="C649" s="35" t="n">
        <v>466027.9745283746</v>
      </c>
      <c r="D649" s="36">
        <f>IF(C648&gt;0,C649/C648-1,"")</f>
        <v/>
      </c>
      <c r="E649" s="36">
        <f>IF(D649="","",D649-$C$12)</f>
        <v/>
      </c>
      <c r="F649" s="35" t="n">
        <v>414602.9400239402</v>
      </c>
      <c r="G649" s="36">
        <f>IF(F648&gt;0,F649/F648-1,"")</f>
        <v/>
      </c>
      <c r="H649" s="36">
        <f>IF(G649="","",G649-$D$12)</f>
        <v/>
      </c>
    </row>
    <row r="650">
      <c r="B650" s="34" t="inlineStr">
        <is>
          <t>2024-03-08</t>
        </is>
      </c>
      <c r="C650" s="35" t="n">
        <v>464604.8569574337</v>
      </c>
      <c r="D650" s="36">
        <f>IF(C649&gt;0,C650/C649-1,"")</f>
        <v/>
      </c>
      <c r="E650" s="36">
        <f>IF(D650="","",D650-$C$12)</f>
        <v/>
      </c>
      <c r="F650" s="35" t="n">
        <v>414194.547398452</v>
      </c>
      <c r="G650" s="36">
        <f>IF(F649&gt;0,F650/F649-1,"")</f>
        <v/>
      </c>
      <c r="H650" s="36">
        <f>IF(G650="","",G650-$D$12)</f>
        <v/>
      </c>
    </row>
    <row r="651">
      <c r="B651" s="34" t="inlineStr">
        <is>
          <t>2024-03-11</t>
        </is>
      </c>
      <c r="C651" s="35" t="n">
        <v>464801.3923656043</v>
      </c>
      <c r="D651" s="36">
        <f>IF(C650&gt;0,C651/C650-1,"")</f>
        <v/>
      </c>
      <c r="E651" s="36">
        <f>IF(D651="","",D651-$C$12)</f>
        <v/>
      </c>
      <c r="F651" s="35" t="n">
        <v>414852.6122424493</v>
      </c>
      <c r="G651" s="36">
        <f>IF(F650&gt;0,F651/F650-1,"")</f>
        <v/>
      </c>
      <c r="H651" s="36">
        <f>IF(G651="","",G651-$D$12)</f>
        <v/>
      </c>
    </row>
    <row r="652">
      <c r="B652" s="34" t="inlineStr">
        <is>
          <t>2024-03-12</t>
        </is>
      </c>
      <c r="C652" s="35" t="n">
        <v>469011.6367606298</v>
      </c>
      <c r="D652" s="36">
        <f>IF(C651&gt;0,C652/C651-1,"")</f>
        <v/>
      </c>
      <c r="E652" s="36">
        <f>IF(D652="","",D652-$C$12)</f>
        <v/>
      </c>
      <c r="F652" s="35" t="n">
        <v>417429.380037014</v>
      </c>
      <c r="G652" s="36">
        <f>IF(F651&gt;0,F652/F651-1,"")</f>
        <v/>
      </c>
      <c r="H652" s="36">
        <f>IF(G652="","",G652-$D$12)</f>
        <v/>
      </c>
    </row>
    <row r="653">
      <c r="B653" s="34" t="inlineStr">
        <is>
          <t>2024-03-13</t>
        </is>
      </c>
      <c r="C653" s="35" t="n">
        <v>468809.6998024851</v>
      </c>
      <c r="D653" s="36">
        <f>IF(C652&gt;0,C653/C652-1,"")</f>
        <v/>
      </c>
      <c r="E653" s="36">
        <f>IF(D653="","",D653-$C$12)</f>
        <v/>
      </c>
      <c r="F653" s="35" t="n">
        <v>417116.1022929944</v>
      </c>
      <c r="G653" s="36">
        <f>IF(F652&gt;0,F653/F652-1,"")</f>
        <v/>
      </c>
      <c r="H653" s="36">
        <f>IF(G653="","",G653-$D$12)</f>
        <v/>
      </c>
    </row>
    <row r="654">
      <c r="B654" s="34" t="inlineStr">
        <is>
          <t>2024-03-14</t>
        </is>
      </c>
      <c r="C654" s="35" t="n">
        <v>466198.6195037432</v>
      </c>
      <c r="D654" s="36">
        <f>IF(C653&gt;0,C654/C653-1,"")</f>
        <v/>
      </c>
      <c r="E654" s="36">
        <f>IF(D654="","",D654-$C$12)</f>
        <v/>
      </c>
      <c r="F654" s="35" t="n">
        <v>415182.5134385116</v>
      </c>
      <c r="G654" s="36">
        <f>IF(F653&gt;0,F654/F653-1,"")</f>
        <v/>
      </c>
      <c r="H654" s="36">
        <f>IF(G654="","",G654-$D$12)</f>
        <v/>
      </c>
    </row>
    <row r="655">
      <c r="B655" s="34" t="inlineStr">
        <is>
          <t>2024-03-15</t>
        </is>
      </c>
      <c r="C655" s="35" t="n">
        <v>466161.827816084</v>
      </c>
      <c r="D655" s="36">
        <f>IF(C654&gt;0,C655/C654-1,"")</f>
        <v/>
      </c>
      <c r="E655" s="36">
        <f>IF(D655="","",D655-$C$12)</f>
        <v/>
      </c>
      <c r="F655" s="35" t="n">
        <v>415047.0571265472</v>
      </c>
      <c r="G655" s="36">
        <f>IF(F654&gt;0,F655/F654-1,"")</f>
        <v/>
      </c>
      <c r="H655" s="36">
        <f>IF(G655="","",G655-$D$12)</f>
        <v/>
      </c>
    </row>
    <row r="656">
      <c r="B656" s="34" t="inlineStr">
        <is>
          <t>2024-03-18</t>
        </is>
      </c>
      <c r="C656" s="35" t="n">
        <v>466935.9882116752</v>
      </c>
      <c r="D656" s="36">
        <f>IF(C655&gt;0,C656/C655-1,"")</f>
        <v/>
      </c>
      <c r="E656" s="36">
        <f>IF(D656="","",D656-$C$12)</f>
        <v/>
      </c>
      <c r="F656" s="35" t="n">
        <v>415178.8586633058</v>
      </c>
      <c r="G656" s="36">
        <f>IF(F655&gt;0,F656/F655-1,"")</f>
        <v/>
      </c>
      <c r="H656" s="36">
        <f>IF(G656="","",G656-$D$12)</f>
        <v/>
      </c>
    </row>
    <row r="657">
      <c r="B657" s="34" t="inlineStr">
        <is>
          <t>2024-03-19</t>
        </is>
      </c>
      <c r="C657" s="35" t="n">
        <v>466589.0086377279</v>
      </c>
      <c r="D657" s="36">
        <f>IF(C656&gt;0,C657/C656-1,"")</f>
        <v/>
      </c>
      <c r="E657" s="36">
        <f>IF(D657="","",D657-$C$12)</f>
        <v/>
      </c>
      <c r="F657" s="35" t="n">
        <v>414660.9837385688</v>
      </c>
      <c r="G657" s="36">
        <f>IF(F656&gt;0,F657/F656-1,"")</f>
        <v/>
      </c>
      <c r="H657" s="36">
        <f>IF(G657="","",G657-$D$12)</f>
        <v/>
      </c>
    </row>
    <row r="658">
      <c r="B658" s="34" t="inlineStr">
        <is>
          <t>2024-03-20</t>
        </is>
      </c>
      <c r="C658" s="35" t="n">
        <v>468005.9108521641</v>
      </c>
      <c r="D658" s="36">
        <f>IF(C657&gt;0,C658/C657-1,"")</f>
        <v/>
      </c>
      <c r="E658" s="36">
        <f>IF(D658="","",D658-$C$12)</f>
        <v/>
      </c>
      <c r="F658" s="35" t="n">
        <v>415741.7600355567</v>
      </c>
      <c r="G658" s="36">
        <f>IF(F657&gt;0,F658/F657-1,"")</f>
        <v/>
      </c>
      <c r="H658" s="36">
        <f>IF(G658="","",G658-$D$12)</f>
        <v/>
      </c>
    </row>
    <row r="659">
      <c r="B659" s="34" t="inlineStr">
        <is>
          <t>2024-03-21</t>
        </is>
      </c>
      <c r="C659" s="35" t="n">
        <v>470283.6284370715</v>
      </c>
      <c r="D659" s="36">
        <f>IF(C658&gt;0,C659/C658-1,"")</f>
        <v/>
      </c>
      <c r="E659" s="36">
        <f>IF(D659="","",D659-$C$12)</f>
        <v/>
      </c>
      <c r="F659" s="35" t="n">
        <v>417615.6394079127</v>
      </c>
      <c r="G659" s="36">
        <f>IF(F658&gt;0,F659/F658-1,"")</f>
        <v/>
      </c>
      <c r="H659" s="36">
        <f>IF(G659="","",G659-$D$12)</f>
        <v/>
      </c>
    </row>
    <row r="660">
      <c r="B660" s="34" t="inlineStr">
        <is>
          <t>2024-03-22</t>
        </is>
      </c>
      <c r="C660" s="35" t="n">
        <v>470186.9013457249</v>
      </c>
      <c r="D660" s="36">
        <f>IF(C659&gt;0,C660/C659-1,"")</f>
        <v/>
      </c>
      <c r="E660" s="36">
        <f>IF(D660="","",D660-$C$12)</f>
        <v/>
      </c>
      <c r="F660" s="35" t="n">
        <v>417182.0695875127</v>
      </c>
      <c r="G660" s="36">
        <f>IF(F659&gt;0,F660/F659-1,"")</f>
        <v/>
      </c>
      <c r="H660" s="36">
        <f>IF(G660="","",G660-$D$12)</f>
        <v/>
      </c>
    </row>
    <row r="661">
      <c r="B661" s="34" t="inlineStr">
        <is>
          <t>2024-03-25</t>
        </is>
      </c>
      <c r="C661" s="35" t="n">
        <v>470869.033471046</v>
      </c>
      <c r="D661" s="36">
        <f>IF(C660&gt;0,C661/C660-1,"")</f>
        <v/>
      </c>
      <c r="E661" s="36">
        <f>IF(D661="","",D661-$C$12)</f>
        <v/>
      </c>
      <c r="F661" s="35" t="n">
        <v>417542.7347344917</v>
      </c>
      <c r="G661" s="36">
        <f>IF(F660&gt;0,F661/F660-1,"")</f>
        <v/>
      </c>
      <c r="H661" s="36">
        <f>IF(G661="","",G661-$D$12)</f>
        <v/>
      </c>
    </row>
    <row r="662">
      <c r="B662" s="34" t="inlineStr">
        <is>
          <t>2024-03-26</t>
        </is>
      </c>
      <c r="C662" s="35" t="n">
        <v>471518.0655010256</v>
      </c>
      <c r="D662" s="36">
        <f>IF(C661&gt;0,C662/C661-1,"")</f>
        <v/>
      </c>
      <c r="E662" s="36">
        <f>IF(D662="","",D662-$C$12)</f>
        <v/>
      </c>
      <c r="F662" s="35" t="n">
        <v>418499.6906734897</v>
      </c>
      <c r="G662" s="36">
        <f>IF(F661&gt;0,F662/F661-1,"")</f>
        <v/>
      </c>
      <c r="H662" s="36">
        <f>IF(G662="","",G662-$D$12)</f>
        <v/>
      </c>
    </row>
    <row r="663">
      <c r="B663" s="34" t="inlineStr">
        <is>
          <t>2024-03-27</t>
        </is>
      </c>
      <c r="C663" s="35" t="n">
        <v>471220.1507591577</v>
      </c>
      <c r="D663" s="36">
        <f>IF(C662&gt;0,C663/C662-1,"")</f>
        <v/>
      </c>
      <c r="E663" s="36">
        <f>IF(D663="","",D663-$C$12)</f>
        <v/>
      </c>
      <c r="F663" s="35" t="n">
        <v>418721.5054457872</v>
      </c>
      <c r="G663" s="36">
        <f>IF(F662&gt;0,F663/F662-1,"")</f>
        <v/>
      </c>
      <c r="H663" s="36">
        <f>IF(G663="","",G663-$D$12)</f>
        <v/>
      </c>
    </row>
    <row r="664">
      <c r="B664" s="34" t="inlineStr">
        <is>
          <t>2024-03-28</t>
        </is>
      </c>
      <c r="C664" s="35" t="n">
        <v>471459.2896920826</v>
      </c>
      <c r="D664" s="36">
        <f>IF(C663&gt;0,C664/C663-1,"")</f>
        <v/>
      </c>
      <c r="E664" s="36">
        <f>IF(D664="","",D664-$C$12)</f>
        <v/>
      </c>
      <c r="F664" s="35" t="n">
        <v>418945.4153602917</v>
      </c>
      <c r="G664" s="36">
        <f>IF(F663&gt;0,F664/F663-1,"")</f>
        <v/>
      </c>
      <c r="H664" s="36">
        <f>IF(G664="","",G664-$D$12)</f>
        <v/>
      </c>
    </row>
    <row r="665">
      <c r="B665" s="34" t="inlineStr">
        <is>
          <t>2024-04-01</t>
        </is>
      </c>
      <c r="C665" s="35" t="n">
        <v>471381.9520915571</v>
      </c>
      <c r="D665" s="36">
        <f>IF(C664&gt;0,C665/C664-1,"")</f>
        <v/>
      </c>
      <c r="E665" s="36">
        <f>IF(D665="","",D665-$C$12)</f>
        <v/>
      </c>
      <c r="F665" s="35" t="n">
        <v>418752.2862173474</v>
      </c>
      <c r="G665" s="36">
        <f>IF(F664&gt;0,F665/F664-1,"")</f>
        <v/>
      </c>
      <c r="H665" s="36">
        <f>IF(G665="","",G665-$D$12)</f>
        <v/>
      </c>
    </row>
    <row r="666">
      <c r="B666" s="34" t="inlineStr">
        <is>
          <t>2024-04-02</t>
        </is>
      </c>
      <c r="C666" s="35" t="n">
        <v>469160.1777791012</v>
      </c>
      <c r="D666" s="36">
        <f>IF(C665&gt;0,C666/C665-1,"")</f>
        <v/>
      </c>
      <c r="E666" s="36">
        <f>IF(D666="","",D666-$C$12)</f>
        <v/>
      </c>
      <c r="F666" s="35" t="n">
        <v>416984.2817068156</v>
      </c>
      <c r="G666" s="36">
        <f>IF(F665&gt;0,F666/F665-1,"")</f>
        <v/>
      </c>
      <c r="H666" s="36">
        <f>IF(G666="","",G666-$D$12)</f>
        <v/>
      </c>
    </row>
    <row r="667">
      <c r="B667" s="34" t="inlineStr">
        <is>
          <t>2024-04-03</t>
        </is>
      </c>
      <c r="C667" s="35" t="n">
        <v>468228.9208785912</v>
      </c>
      <c r="D667" s="36">
        <f>IF(C666&gt;0,C667/C666-1,"")</f>
        <v/>
      </c>
      <c r="E667" s="36">
        <f>IF(D667="","",D667-$C$12)</f>
        <v/>
      </c>
      <c r="F667" s="35" t="n">
        <v>416401.858678883</v>
      </c>
      <c r="G667" s="36">
        <f>IF(F666&gt;0,F667/F666-1,"")</f>
        <v/>
      </c>
      <c r="H667" s="36">
        <f>IF(G667="","",G667-$D$12)</f>
        <v/>
      </c>
    </row>
    <row r="668">
      <c r="B668" s="34" t="inlineStr">
        <is>
          <t>2024-04-04</t>
        </is>
      </c>
      <c r="C668" s="35" t="n">
        <v>466500.5534680084</v>
      </c>
      <c r="D668" s="36">
        <f>IF(C667&gt;0,C668/C667-1,"")</f>
        <v/>
      </c>
      <c r="E668" s="36">
        <f>IF(D668="","",D668-$C$12)</f>
        <v/>
      </c>
      <c r="F668" s="35" t="n">
        <v>415711.8278167038</v>
      </c>
      <c r="G668" s="36">
        <f>IF(F667&gt;0,F668/F667-1,"")</f>
        <v/>
      </c>
      <c r="H668" s="36">
        <f>IF(G668="","",G668-$D$12)</f>
        <v/>
      </c>
    </row>
    <row r="669">
      <c r="B669" s="34" t="inlineStr">
        <is>
          <t>2024-04-05</t>
        </is>
      </c>
      <c r="C669" s="35" t="n">
        <v>465021.3196498832</v>
      </c>
      <c r="D669" s="36">
        <f>IF(C668&gt;0,C669/C668-1,"")</f>
        <v/>
      </c>
      <c r="E669" s="36">
        <f>IF(D669="","",D669-$C$12)</f>
        <v/>
      </c>
      <c r="F669" s="35" t="n">
        <v>414117.271103066</v>
      </c>
      <c r="G669" s="36">
        <f>IF(F668&gt;0,F669/F668-1,"")</f>
        <v/>
      </c>
      <c r="H669" s="36">
        <f>IF(G669="","",G669-$D$12)</f>
        <v/>
      </c>
    </row>
    <row r="670">
      <c r="B670" s="34" t="inlineStr">
        <is>
          <t>2024-04-08</t>
        </is>
      </c>
      <c r="C670" s="35" t="n">
        <v>466164.9753534121</v>
      </c>
      <c r="D670" s="36">
        <f>IF(C669&gt;0,C670/C669-1,"")</f>
        <v/>
      </c>
      <c r="E670" s="36">
        <f>IF(D670="","",D670-$C$12)</f>
        <v/>
      </c>
      <c r="F670" s="35" t="n">
        <v>415305.3315162162</v>
      </c>
      <c r="G670" s="36">
        <f>IF(F669&gt;0,F670/F669-1,"")</f>
        <v/>
      </c>
      <c r="H670" s="36">
        <f>IF(G670="","",G670-$D$12)</f>
        <v/>
      </c>
    </row>
    <row r="671">
      <c r="B671" s="34" t="inlineStr">
        <is>
          <t>2024-04-09</t>
        </is>
      </c>
      <c r="C671" s="35" t="n">
        <v>464594.7101397175</v>
      </c>
      <c r="D671" s="36">
        <f>IF(C670&gt;0,C671/C670-1,"")</f>
        <v/>
      </c>
      <c r="E671" s="36">
        <f>IF(D671="","",D671-$C$12)</f>
        <v/>
      </c>
      <c r="F671" s="35" t="n">
        <v>414443.0954973617</v>
      </c>
      <c r="G671" s="36">
        <f>IF(F670&gt;0,F671/F670-1,"")</f>
        <v/>
      </c>
      <c r="H671" s="36">
        <f>IF(G671="","",G671-$D$12)</f>
        <v/>
      </c>
    </row>
    <row r="672">
      <c r="B672" s="34" t="inlineStr">
        <is>
          <t>2024-04-10</t>
        </is>
      </c>
      <c r="C672" s="35" t="n">
        <v>466487.8871536176</v>
      </c>
      <c r="D672" s="36">
        <f>IF(C671&gt;0,C672/C671-1,"")</f>
        <v/>
      </c>
      <c r="E672" s="36">
        <f>IF(D672="","",D672-$C$12)</f>
        <v/>
      </c>
      <c r="F672" s="35" t="n">
        <v>415334.2971805866</v>
      </c>
      <c r="G672" s="36">
        <f>IF(F671&gt;0,F672/F671-1,"")</f>
        <v/>
      </c>
      <c r="H672" s="36">
        <f>IF(G672="","",G672-$D$12)</f>
        <v/>
      </c>
    </row>
    <row r="673">
      <c r="B673" s="34" t="inlineStr">
        <is>
          <t>2024-04-11</t>
        </is>
      </c>
      <c r="C673" s="35" t="n">
        <v>467580.6732541008</v>
      </c>
      <c r="D673" s="36">
        <f>IF(C672&gt;0,C673/C672-1,"")</f>
        <v/>
      </c>
      <c r="E673" s="36">
        <f>IF(D673="","",D673-$C$12)</f>
        <v/>
      </c>
      <c r="F673" s="35" t="n">
        <v>415576.6304198817</v>
      </c>
      <c r="G673" s="36">
        <f>IF(F672&gt;0,F673/F672-1,"")</f>
        <v/>
      </c>
      <c r="H673" s="36">
        <f>IF(G673="","",G673-$D$12)</f>
        <v/>
      </c>
    </row>
    <row r="674">
      <c r="B674" s="34" t="inlineStr">
        <is>
          <t>2024-04-12</t>
        </is>
      </c>
      <c r="C674" s="35" t="n">
        <v>465676.7654429675</v>
      </c>
      <c r="D674" s="36">
        <f>IF(C673&gt;0,C674/C673-1,"")</f>
        <v/>
      </c>
      <c r="E674" s="36">
        <f>IF(D674="","",D674-$C$12)</f>
        <v/>
      </c>
      <c r="F674" s="35" t="n">
        <v>414030.8375513572</v>
      </c>
      <c r="G674" s="36">
        <f>IF(F673&gt;0,F674/F673-1,"")</f>
        <v/>
      </c>
      <c r="H674" s="36">
        <f>IF(G674="","",G674-$D$12)</f>
        <v/>
      </c>
    </row>
    <row r="675">
      <c r="B675" s="34" t="inlineStr">
        <is>
          <t>2024-04-15</t>
        </is>
      </c>
      <c r="C675" s="35" t="n">
        <v>463660.7387307054</v>
      </c>
      <c r="D675" s="36">
        <f>IF(C674&gt;0,C675/C674-1,"")</f>
        <v/>
      </c>
      <c r="E675" s="36">
        <f>IF(D675="","",D675-$C$12)</f>
        <v/>
      </c>
      <c r="F675" s="35" t="n">
        <v>412895.1641965592</v>
      </c>
      <c r="G675" s="36">
        <f>IF(F674&gt;0,F675/F674-1,"")</f>
        <v/>
      </c>
      <c r="H675" s="36">
        <f>IF(G675="","",G675-$D$12)</f>
        <v/>
      </c>
    </row>
    <row r="676">
      <c r="B676" s="34" t="inlineStr">
        <is>
          <t>2024-04-16</t>
        </is>
      </c>
      <c r="C676" s="35" t="n">
        <v>459795.8250599915</v>
      </c>
      <c r="D676" s="36">
        <f>IF(C675&gt;0,C676/C675-1,"")</f>
        <v/>
      </c>
      <c r="E676" s="36">
        <f>IF(D676="","",D676-$C$12)</f>
        <v/>
      </c>
      <c r="F676" s="35" t="n">
        <v>409282.7174162111</v>
      </c>
      <c r="G676" s="36">
        <f>IF(F675&gt;0,F676/F675-1,"")</f>
        <v/>
      </c>
      <c r="H676" s="36">
        <f>IF(G676="","",G676-$D$12)</f>
        <v/>
      </c>
    </row>
    <row r="677">
      <c r="B677" s="34" t="inlineStr">
        <is>
          <t>2024-04-17</t>
        </is>
      </c>
      <c r="C677" s="35" t="n">
        <v>458046.7697182592</v>
      </c>
      <c r="D677" s="36">
        <f>IF(C676&gt;0,C677/C676-1,"")</f>
        <v/>
      </c>
      <c r="E677" s="36">
        <f>IF(D677="","",D677-$C$12)</f>
        <v/>
      </c>
      <c r="F677" s="35" t="n">
        <v>408315.6813742791</v>
      </c>
      <c r="G677" s="36">
        <f>IF(F676&gt;0,F677/F676-1,"")</f>
        <v/>
      </c>
      <c r="H677" s="36">
        <f>IF(G677="","",G677-$D$12)</f>
        <v/>
      </c>
    </row>
    <row r="678">
      <c r="B678" s="34" t="inlineStr">
        <is>
          <t>2024-04-18</t>
        </is>
      </c>
      <c r="C678" s="35" t="n">
        <v>458512.8122783495</v>
      </c>
      <c r="D678" s="36">
        <f>IF(C677&gt;0,C678/C677-1,"")</f>
        <v/>
      </c>
      <c r="E678" s="36">
        <f>IF(D678="","",D678-$C$12)</f>
        <v/>
      </c>
      <c r="F678" s="35" t="n">
        <v>409139.2218755706</v>
      </c>
      <c r="G678" s="36">
        <f>IF(F677&gt;0,F678/F677-1,"")</f>
        <v/>
      </c>
      <c r="H678" s="36">
        <f>IF(G678="","",G678-$D$12)</f>
        <v/>
      </c>
    </row>
    <row r="679">
      <c r="B679" s="34" t="inlineStr">
        <is>
          <t>2024-04-19</t>
        </is>
      </c>
      <c r="C679" s="35" t="n">
        <v>456135.2228866423</v>
      </c>
      <c r="D679" s="36">
        <f>IF(C678&gt;0,C679/C678-1,"")</f>
        <v/>
      </c>
      <c r="E679" s="36">
        <f>IF(D679="","",D679-$C$12)</f>
        <v/>
      </c>
      <c r="F679" s="35" t="n">
        <v>408205.7633438368</v>
      </c>
      <c r="G679" s="36">
        <f>IF(F678&gt;0,F679/F678-1,"")</f>
        <v/>
      </c>
      <c r="H679" s="36">
        <f>IF(G679="","",G679-$D$12)</f>
        <v/>
      </c>
    </row>
    <row r="680">
      <c r="B680" s="34" t="inlineStr">
        <is>
          <t>2024-04-22</t>
        </is>
      </c>
      <c r="C680" s="35" t="n">
        <v>458869.4588056777</v>
      </c>
      <c r="D680" s="36">
        <f>IF(C679&gt;0,C680/C679-1,"")</f>
        <v/>
      </c>
      <c r="E680" s="36">
        <f>IF(D680="","",D680-$C$12)</f>
        <v/>
      </c>
      <c r="F680" s="35" t="n">
        <v>410333.373437948</v>
      </c>
      <c r="G680" s="36">
        <f>IF(F679&gt;0,F680/F679-1,"")</f>
        <v/>
      </c>
      <c r="H680" s="36">
        <f>IF(G680="","",G680-$D$12)</f>
        <v/>
      </c>
    </row>
    <row r="681">
      <c r="B681" s="34" t="inlineStr">
        <is>
          <t>2024-04-23</t>
        </is>
      </c>
      <c r="C681" s="35" t="n">
        <v>462544.1487607628</v>
      </c>
      <c r="D681" s="36">
        <f>IF(C680&gt;0,C681/C680-1,"")</f>
        <v/>
      </c>
      <c r="E681" s="36">
        <f>IF(D681="","",D681-$C$12)</f>
        <v/>
      </c>
      <c r="F681" s="35" t="n">
        <v>412842.9058531793</v>
      </c>
      <c r="G681" s="36">
        <f>IF(F680&gt;0,F681/F680-1,"")</f>
        <v/>
      </c>
      <c r="H681" s="36">
        <f>IF(G681="","",G681-$D$12)</f>
        <v/>
      </c>
    </row>
    <row r="682">
      <c r="B682" s="34" t="inlineStr">
        <is>
          <t>2024-04-24</t>
        </is>
      </c>
      <c r="C682" s="35" t="n">
        <v>459165.5476830446</v>
      </c>
      <c r="D682" s="36">
        <f>IF(C681&gt;0,C682/C681-1,"")</f>
        <v/>
      </c>
      <c r="E682" s="36">
        <f>IF(D682="","",D682-$C$12)</f>
        <v/>
      </c>
      <c r="F682" s="35" t="n">
        <v>410470.6480394805</v>
      </c>
      <c r="G682" s="36">
        <f>IF(F681&gt;0,F682/F681-1,"")</f>
        <v/>
      </c>
      <c r="H682" s="36">
        <f>IF(G682="","",G682-$D$12)</f>
        <v/>
      </c>
    </row>
    <row r="683">
      <c r="B683" s="34" t="inlineStr">
        <is>
          <t>2024-04-25</t>
        </is>
      </c>
      <c r="C683" s="35" t="n">
        <v>457214.5268262065</v>
      </c>
      <c r="D683" s="36">
        <f>IF(C682&gt;0,C683/C682-1,"")</f>
        <v/>
      </c>
      <c r="E683" s="36">
        <f>IF(D683="","",D683-$C$12)</f>
        <v/>
      </c>
      <c r="F683" s="35" t="n">
        <v>408742.1902811993</v>
      </c>
      <c r="G683" s="36">
        <f>IF(F682&gt;0,F683/F682-1,"")</f>
        <v/>
      </c>
      <c r="H683" s="36">
        <f>IF(G683="","",G683-$D$12)</f>
        <v/>
      </c>
    </row>
    <row r="684">
      <c r="B684" s="34" t="inlineStr">
        <is>
          <t>2024-04-26</t>
        </is>
      </c>
      <c r="C684" s="35" t="n">
        <v>461140.6484516838</v>
      </c>
      <c r="D684" s="36">
        <f>IF(C683&gt;0,C684/C683-1,"")</f>
        <v/>
      </c>
      <c r="E684" s="36">
        <f>IF(D684="","",D684-$C$12)</f>
        <v/>
      </c>
      <c r="F684" s="35" t="n">
        <v>411131.0769485548</v>
      </c>
      <c r="G684" s="36">
        <f>IF(F683&gt;0,F684/F683-1,"")</f>
        <v/>
      </c>
      <c r="H684" s="36">
        <f>IF(G684="","",G684-$D$12)</f>
        <v/>
      </c>
    </row>
    <row r="685">
      <c r="B685" s="34" t="inlineStr">
        <is>
          <t>2024-04-29</t>
        </is>
      </c>
      <c r="C685" s="35" t="n">
        <v>460949.0798005518</v>
      </c>
      <c r="D685" s="36">
        <f>IF(C684&gt;0,C685/C684-1,"")</f>
        <v/>
      </c>
      <c r="E685" s="36">
        <f>IF(D685="","",D685-$C$12)</f>
        <v/>
      </c>
      <c r="F685" s="35" t="n">
        <v>411541.6486397815</v>
      </c>
      <c r="G685" s="36">
        <f>IF(F684&gt;0,F685/F684-1,"")</f>
        <v/>
      </c>
      <c r="H685" s="36">
        <f>IF(G685="","",G685-$D$12)</f>
        <v/>
      </c>
    </row>
    <row r="686">
      <c r="B686" s="34" t="inlineStr">
        <is>
          <t>2024-04-30</t>
        </is>
      </c>
      <c r="C686" s="35" t="n">
        <v>459847.9964936542</v>
      </c>
      <c r="D686" s="36">
        <f>IF(C685&gt;0,C686/C685-1,"")</f>
        <v/>
      </c>
      <c r="E686" s="36">
        <f>IF(D686="","",D686-$C$12)</f>
        <v/>
      </c>
      <c r="F686" s="35" t="n">
        <v>410627.7834128863</v>
      </c>
      <c r="G686" s="36">
        <f>IF(F685&gt;0,F686/F685-1,"")</f>
        <v/>
      </c>
      <c r="H686" s="36">
        <f>IF(G686="","",G686-$D$12)</f>
        <v/>
      </c>
    </row>
    <row r="687">
      <c r="B687" s="34" t="inlineStr">
        <is>
          <t>2024-05-01</t>
        </is>
      </c>
      <c r="C687" s="35" t="n">
        <v>458631.4475425968</v>
      </c>
      <c r="D687" s="36">
        <f>IF(C686&gt;0,C687/C686-1,"")</f>
        <v/>
      </c>
      <c r="E687" s="36">
        <f>IF(D687="","",D687-$C$12)</f>
        <v/>
      </c>
      <c r="F687" s="35" t="n">
        <v>410293.3084621864</v>
      </c>
      <c r="G687" s="36">
        <f>IF(F686&gt;0,F687/F686-1,"")</f>
        <v/>
      </c>
      <c r="H687" s="36">
        <f>IF(G687="","",G687-$D$12)</f>
        <v/>
      </c>
    </row>
    <row r="688">
      <c r="B688" s="34" t="inlineStr">
        <is>
          <t>2024-05-02</t>
        </is>
      </c>
      <c r="C688" s="35" t="n">
        <v>457356.1198851011</v>
      </c>
      <c r="D688" s="36">
        <f>IF(C687&gt;0,C688/C687-1,"")</f>
        <v/>
      </c>
      <c r="E688" s="36">
        <f>IF(D688="","",D688-$C$12)</f>
        <v/>
      </c>
      <c r="F688" s="35" t="n">
        <v>408997.068919474</v>
      </c>
      <c r="G688" s="36">
        <f>IF(F687&gt;0,F688/F687-1,"")</f>
        <v/>
      </c>
      <c r="H688" s="36">
        <f>IF(G688="","",G688-$D$12)</f>
        <v/>
      </c>
    </row>
    <row r="689">
      <c r="B689" s="34" t="inlineStr">
        <is>
          <t>2024-05-03</t>
        </is>
      </c>
      <c r="C689" s="35" t="n">
        <v>458503.708183012</v>
      </c>
      <c r="D689" s="36">
        <f>IF(C688&gt;0,C689/C688-1,"")</f>
        <v/>
      </c>
      <c r="E689" s="36">
        <f>IF(D689="","",D689-$C$12)</f>
        <v/>
      </c>
      <c r="F689" s="35" t="n">
        <v>409559.1369709825</v>
      </c>
      <c r="G689" s="36">
        <f>IF(F688&gt;0,F689/F688-1,"")</f>
        <v/>
      </c>
      <c r="H689" s="36">
        <f>IF(G689="","",G689-$D$12)</f>
        <v/>
      </c>
    </row>
    <row r="690">
      <c r="B690" s="34" t="inlineStr">
        <is>
          <t>2024-05-06</t>
        </is>
      </c>
      <c r="C690" s="35" t="n">
        <v>462119.3935262291</v>
      </c>
      <c r="D690" s="36">
        <f>IF(C689&gt;0,C690/C689-1,"")</f>
        <v/>
      </c>
      <c r="E690" s="36">
        <f>IF(D690="","",D690-$C$12)</f>
        <v/>
      </c>
      <c r="F690" s="35" t="n">
        <v>411895.2545483169</v>
      </c>
      <c r="G690" s="36">
        <f>IF(F689&gt;0,F690/F689-1,"")</f>
        <v/>
      </c>
      <c r="H690" s="36">
        <f>IF(G690="","",G690-$D$12)</f>
        <v/>
      </c>
    </row>
    <row r="691">
      <c r="B691" s="34" t="inlineStr">
        <is>
          <t>2024-05-07</t>
        </is>
      </c>
      <c r="C691" s="35" t="n">
        <v>464459.3052346805</v>
      </c>
      <c r="D691" s="36">
        <f>IF(C690&gt;0,C691/C690-1,"")</f>
        <v/>
      </c>
      <c r="E691" s="36">
        <f>IF(D691="","",D691-$C$12)</f>
        <v/>
      </c>
      <c r="F691" s="35" t="n">
        <v>413676.6535808862</v>
      </c>
      <c r="G691" s="36">
        <f>IF(F690&gt;0,F691/F690-1,"")</f>
        <v/>
      </c>
      <c r="H691" s="36">
        <f>IF(G691="","",G691-$D$12)</f>
        <v/>
      </c>
    </row>
    <row r="692">
      <c r="B692" s="34" t="inlineStr">
        <is>
          <t>2024-05-08</t>
        </is>
      </c>
      <c r="C692" s="35" t="n">
        <v>465160.2898299375</v>
      </c>
      <c r="D692" s="36">
        <f>IF(C691&gt;0,C692/C691-1,"")</f>
        <v/>
      </c>
      <c r="E692" s="36">
        <f>IF(D692="","",D692-$C$12)</f>
        <v/>
      </c>
      <c r="F692" s="35" t="n">
        <v>414623.5099964068</v>
      </c>
      <c r="G692" s="36">
        <f>IF(F691&gt;0,F692/F691-1,"")</f>
        <v/>
      </c>
      <c r="H692" s="36">
        <f>IF(G692="","",G692-$D$12)</f>
        <v/>
      </c>
    </row>
    <row r="693">
      <c r="B693" s="34" t="inlineStr">
        <is>
          <t>2024-05-09</t>
        </is>
      </c>
      <c r="C693" s="35" t="n">
        <v>464387.5031403227</v>
      </c>
      <c r="D693" s="36">
        <f>IF(C692&gt;0,C693/C692-1,"")</f>
        <v/>
      </c>
      <c r="E693" s="36">
        <f>IF(D693="","",D693-$C$12)</f>
        <v/>
      </c>
      <c r="F693" s="35" t="n">
        <v>414382.7794996344</v>
      </c>
      <c r="G693" s="36">
        <f>IF(F692&gt;0,F693/F692-1,"")</f>
        <v/>
      </c>
      <c r="H693" s="36">
        <f>IF(G693="","",G693-$D$12)</f>
        <v/>
      </c>
    </row>
    <row r="694">
      <c r="B694" s="34" t="inlineStr">
        <is>
          <t>2024-05-10</t>
        </is>
      </c>
      <c r="C694" s="35" t="n">
        <v>467027.528466076</v>
      </c>
      <c r="D694" s="36">
        <f>IF(C693&gt;0,C694/C693-1,"")</f>
        <v/>
      </c>
      <c r="E694" s="36">
        <f>IF(D694="","",D694-$C$12)</f>
        <v/>
      </c>
      <c r="F694" s="35" t="n">
        <v>416200.6951745551</v>
      </c>
      <c r="G694" s="36">
        <f>IF(F693&gt;0,F694/F693-1,"")</f>
        <v/>
      </c>
      <c r="H694" s="36">
        <f>IF(G694="","",G694-$D$12)</f>
        <v/>
      </c>
    </row>
    <row r="695">
      <c r="B695" s="34" t="inlineStr">
        <is>
          <t>2024-05-13</t>
        </is>
      </c>
      <c r="C695" s="35" t="n">
        <v>467886.3438967619</v>
      </c>
      <c r="D695" s="36">
        <f>IF(C694&gt;0,C695/C694-1,"")</f>
        <v/>
      </c>
      <c r="E695" s="36">
        <f>IF(D695="","",D695-$C$12)</f>
        <v/>
      </c>
      <c r="F695" s="35" t="n">
        <v>416950.8267722593</v>
      </c>
      <c r="G695" s="36">
        <f>IF(F694&gt;0,F695/F694-1,"")</f>
        <v/>
      </c>
      <c r="H695" s="36">
        <f>IF(G695="","",G695-$D$12)</f>
        <v/>
      </c>
    </row>
    <row r="696">
      <c r="B696" s="34" t="inlineStr">
        <is>
          <t>2024-05-14</t>
        </is>
      </c>
      <c r="C696" s="35" t="n">
        <v>467582.8754816532</v>
      </c>
      <c r="D696" s="36">
        <f>IF(C695&gt;0,C696/C695-1,"")</f>
        <v/>
      </c>
      <c r="E696" s="36">
        <f>IF(D696="","",D696-$C$12)</f>
        <v/>
      </c>
      <c r="F696" s="35" t="n">
        <v>416474.5392999589</v>
      </c>
      <c r="G696" s="36">
        <f>IF(F695&gt;0,F696/F695-1,"")</f>
        <v/>
      </c>
      <c r="H696" s="36">
        <f>IF(G696="","",G696-$D$12)</f>
        <v/>
      </c>
    </row>
    <row r="697">
      <c r="B697" s="34" t="inlineStr">
        <is>
          <t>2024-05-15</t>
        </is>
      </c>
      <c r="C697" s="35" t="n">
        <v>470349.5058855813</v>
      </c>
      <c r="D697" s="36">
        <f>IF(C696&gt;0,C697/C696-1,"")</f>
        <v/>
      </c>
      <c r="E697" s="36">
        <f>IF(D697="","",D697-$C$12)</f>
        <v/>
      </c>
      <c r="F697" s="35" t="n">
        <v>418677.8516609718</v>
      </c>
      <c r="G697" s="36">
        <f>IF(F696&gt;0,F697/F696-1,"")</f>
        <v/>
      </c>
      <c r="H697" s="36">
        <f>IF(G697="","",G697-$D$12)</f>
        <v/>
      </c>
    </row>
    <row r="698">
      <c r="B698" s="34" t="inlineStr">
        <is>
          <t>2024-05-16</t>
        </is>
      </c>
      <c r="C698" s="35" t="n">
        <v>472826.9789099285</v>
      </c>
      <c r="D698" s="36">
        <f>IF(C697&gt;0,C698/C697-1,"")</f>
        <v/>
      </c>
      <c r="E698" s="36">
        <f>IF(D698="","",D698-$C$12)</f>
        <v/>
      </c>
      <c r="F698" s="35" t="n">
        <v>420678.0996632203</v>
      </c>
      <c r="G698" s="36">
        <f>IF(F697&gt;0,F698/F697-1,"")</f>
        <v/>
      </c>
      <c r="H698" s="36">
        <f>IF(G698="","",G698-$D$12)</f>
        <v/>
      </c>
    </row>
    <row r="699">
      <c r="B699" s="34" t="inlineStr">
        <is>
          <t>2024-05-17</t>
        </is>
      </c>
      <c r="C699" s="35" t="n">
        <v>472519.8984391971</v>
      </c>
      <c r="D699" s="36">
        <f>IF(C698&gt;0,C699/C698-1,"")</f>
        <v/>
      </c>
      <c r="E699" s="36">
        <f>IF(D699="","",D699-$C$12)</f>
        <v/>
      </c>
      <c r="F699" s="35" t="n">
        <v>420808.8546447576</v>
      </c>
      <c r="G699" s="36">
        <f>IF(F698&gt;0,F699/F698-1,"")</f>
        <v/>
      </c>
      <c r="H699" s="36">
        <f>IF(G699="","",G699-$D$12)</f>
        <v/>
      </c>
    </row>
    <row r="700">
      <c r="B700" s="34" t="inlineStr">
        <is>
          <t>2024-05-20</t>
        </is>
      </c>
      <c r="C700" s="35" t="n">
        <v>473893.8540334849</v>
      </c>
      <c r="D700" s="36">
        <f>IF(C699&gt;0,C700/C699-1,"")</f>
        <v/>
      </c>
      <c r="E700" s="36">
        <f>IF(D700="","",D700-$C$12)</f>
        <v/>
      </c>
      <c r="F700" s="35" t="n">
        <v>421532.4433952389</v>
      </c>
      <c r="G700" s="36">
        <f>IF(F699&gt;0,F700/F699-1,"")</f>
        <v/>
      </c>
      <c r="H700" s="36">
        <f>IF(G700="","",G700-$D$12)</f>
        <v/>
      </c>
    </row>
    <row r="701">
      <c r="B701" s="34" t="inlineStr">
        <is>
          <t>2024-05-21</t>
        </is>
      </c>
      <c r="C701" s="35" t="n">
        <v>474744.5568579994</v>
      </c>
      <c r="D701" s="36">
        <f>IF(C700&gt;0,C701/C700-1,"")</f>
        <v/>
      </c>
      <c r="E701" s="36">
        <f>IF(D701="","",D701-$C$12)</f>
        <v/>
      </c>
      <c r="F701" s="35" t="n">
        <v>421960.7818773357</v>
      </c>
      <c r="G701" s="36">
        <f>IF(F700&gt;0,F701/F700-1,"")</f>
        <v/>
      </c>
      <c r="H701" s="36">
        <f>IF(G701="","",G701-$D$12)</f>
        <v/>
      </c>
    </row>
    <row r="702">
      <c r="B702" s="34" t="inlineStr">
        <is>
          <t>2024-05-22</t>
        </is>
      </c>
      <c r="C702" s="35" t="n">
        <v>473501.1225732174</v>
      </c>
      <c r="D702" s="36">
        <f>IF(C701&gt;0,C702/C701-1,"")</f>
        <v/>
      </c>
      <c r="E702" s="36">
        <f>IF(D702="","",D702-$C$12)</f>
        <v/>
      </c>
      <c r="F702" s="35" t="n">
        <v>421177.1576799699</v>
      </c>
      <c r="G702" s="36">
        <f>IF(F701&gt;0,F702/F701-1,"")</f>
        <v/>
      </c>
      <c r="H702" s="36">
        <f>IF(G702="","",G702-$D$12)</f>
        <v/>
      </c>
    </row>
    <row r="703">
      <c r="B703" s="34" t="inlineStr">
        <is>
          <t>2024-05-23</t>
        </is>
      </c>
      <c r="C703" s="35" t="n">
        <v>476542.0448514835</v>
      </c>
      <c r="D703" s="36">
        <f>IF(C702&gt;0,C703/C702-1,"")</f>
        <v/>
      </c>
      <c r="E703" s="36">
        <f>IF(D703="","",D703-$C$12)</f>
        <v/>
      </c>
      <c r="F703" s="35" t="n">
        <v>422346.6798417316</v>
      </c>
      <c r="G703" s="36">
        <f>IF(F702&gt;0,F703/F702-1,"")</f>
        <v/>
      </c>
      <c r="H703" s="36">
        <f>IF(G703="","",G703-$D$12)</f>
        <v/>
      </c>
    </row>
    <row r="704">
      <c r="B704" s="34" t="inlineStr">
        <is>
          <t>2024-05-24</t>
        </is>
      </c>
      <c r="C704" s="35" t="n">
        <v>477302.2412068683</v>
      </c>
      <c r="D704" s="36">
        <f>IF(C703&gt;0,C704/C703-1,"")</f>
        <v/>
      </c>
      <c r="E704" s="36">
        <f>IF(D704="","",D704-$C$12)</f>
        <v/>
      </c>
      <c r="F704" s="35" t="n">
        <v>422350.8750704919</v>
      </c>
      <c r="G704" s="36">
        <f>IF(F703&gt;0,F704/F703-1,"")</f>
        <v/>
      </c>
      <c r="H704" s="36">
        <f>IF(G704="","",G704-$D$12)</f>
        <v/>
      </c>
    </row>
    <row r="705">
      <c r="B705" s="34" t="inlineStr">
        <is>
          <t>2024-05-27</t>
        </is>
      </c>
      <c r="C705" s="35" t="n">
        <v>478343.3664148981</v>
      </c>
      <c r="D705" s="36">
        <f>IF(C704&gt;0,C705/C704-1,"")</f>
        <v/>
      </c>
      <c r="E705" s="36">
        <f>IF(D705="","",D705-$C$12)</f>
        <v/>
      </c>
      <c r="F705" s="35" t="n">
        <v>423428.759599822</v>
      </c>
      <c r="G705" s="36">
        <f>IF(F704&gt;0,F705/F704-1,"")</f>
        <v/>
      </c>
      <c r="H705" s="36">
        <f>IF(G705="","",G705-$D$12)</f>
        <v/>
      </c>
    </row>
    <row r="706">
      <c r="B706" s="34" t="inlineStr">
        <is>
          <t>2024-05-28</t>
        </is>
      </c>
      <c r="C706" s="35" t="n">
        <v>479549.2369030322</v>
      </c>
      <c r="D706" s="36">
        <f>IF(C705&gt;0,C706/C705-1,"")</f>
        <v/>
      </c>
      <c r="E706" s="36">
        <f>IF(D706="","",D706-$C$12)</f>
        <v/>
      </c>
      <c r="F706" s="35" t="n">
        <v>423171.0245797496</v>
      </c>
      <c r="G706" s="36">
        <f>IF(F705&gt;0,F706/F705-1,"")</f>
        <v/>
      </c>
      <c r="H706" s="36">
        <f>IF(G706="","",G706-$D$12)</f>
        <v/>
      </c>
    </row>
    <row r="707">
      <c r="B707" s="34" t="inlineStr">
        <is>
          <t>2024-05-29</t>
        </is>
      </c>
      <c r="C707" s="35" t="n">
        <v>478713.9386332891</v>
      </c>
      <c r="D707" s="36">
        <f>IF(C706&gt;0,C707/C706-1,"")</f>
        <v/>
      </c>
      <c r="E707" s="36">
        <f>IF(D707="","",D707-$C$12)</f>
        <v/>
      </c>
      <c r="F707" s="35" t="n">
        <v>421892.6022380376</v>
      </c>
      <c r="G707" s="36">
        <f>IF(F706&gt;0,F707/F706-1,"")</f>
        <v/>
      </c>
      <c r="H707" s="36">
        <f>IF(G707="","",G707-$D$12)</f>
        <v/>
      </c>
    </row>
    <row r="708">
      <c r="B708" s="34" t="inlineStr">
        <is>
          <t>2024-05-30</t>
        </is>
      </c>
      <c r="C708" s="35" t="n">
        <v>476816.1036310696</v>
      </c>
      <c r="D708" s="36">
        <f>IF(C707&gt;0,C708/C707-1,"")</f>
        <v/>
      </c>
      <c r="E708" s="36">
        <f>IF(D708="","",D708-$C$12)</f>
        <v/>
      </c>
      <c r="F708" s="35" t="n">
        <v>420958.434610547</v>
      </c>
      <c r="G708" s="36">
        <f>IF(F707&gt;0,F708/F707-1,"")</f>
        <v/>
      </c>
      <c r="H708" s="36">
        <f>IF(G708="","",G708-$D$12)</f>
        <v/>
      </c>
    </row>
    <row r="709">
      <c r="B709" s="34" t="inlineStr">
        <is>
          <t>2024-05-31</t>
        </is>
      </c>
      <c r="C709" s="35" t="n">
        <v>478608.8513494262</v>
      </c>
      <c r="D709" s="36">
        <f>IF(C708&gt;0,C709/C708-1,"")</f>
        <v/>
      </c>
      <c r="E709" s="36">
        <f>IF(D709="","",D709-$C$12)</f>
        <v/>
      </c>
      <c r="F709" s="35" t="n">
        <v>421994.7061620229</v>
      </c>
      <c r="G709" s="36">
        <f>IF(F708&gt;0,F709/F708-1,"")</f>
        <v/>
      </c>
      <c r="H709" s="36">
        <f>IF(G709="","",G709-$D$12)</f>
        <v/>
      </c>
    </row>
    <row r="710">
      <c r="B710" s="34" t="inlineStr">
        <is>
          <t>2024-06-03</t>
        </is>
      </c>
      <c r="C710" s="35" t="n">
        <v>480710.0734606436</v>
      </c>
      <c r="D710" s="36">
        <f>IF(C709&gt;0,C710/C709-1,"")</f>
        <v/>
      </c>
      <c r="E710" s="36">
        <f>IF(D710="","",D710-$C$12)</f>
        <v/>
      </c>
      <c r="F710" s="35" t="n">
        <v>423129.9526034982</v>
      </c>
      <c r="G710" s="36">
        <f>IF(F709&gt;0,F710/F709-1,"")</f>
        <v/>
      </c>
      <c r="H710" s="36">
        <f>IF(G710="","",G710-$D$12)</f>
        <v/>
      </c>
    </row>
    <row r="711">
      <c r="B711" s="34" t="inlineStr">
        <is>
          <t>2024-06-04</t>
        </is>
      </c>
      <c r="C711" s="35" t="n">
        <v>480354.8148273593</v>
      </c>
      <c r="D711" s="36">
        <f>IF(C710&gt;0,C711/C710-1,"")</f>
        <v/>
      </c>
      <c r="E711" s="36">
        <f>IF(D711="","",D711-$C$12)</f>
        <v/>
      </c>
      <c r="F711" s="35" t="n">
        <v>422574.0565640939</v>
      </c>
      <c r="G711" s="36">
        <f>IF(F710&gt;0,F711/F710-1,"")</f>
        <v/>
      </c>
      <c r="H711" s="36">
        <f>IF(G711="","",G711-$D$12)</f>
        <v/>
      </c>
    </row>
    <row r="712">
      <c r="B712" s="34" t="inlineStr">
        <is>
          <t>2024-06-05</t>
        </is>
      </c>
      <c r="C712" s="35" t="n">
        <v>485424.529142813</v>
      </c>
      <c r="D712" s="36">
        <f>IF(C711&gt;0,C712/C711-1,"")</f>
        <v/>
      </c>
      <c r="E712" s="36">
        <f>IF(D712="","",D712-$C$12)</f>
        <v/>
      </c>
      <c r="F712" s="35" t="n">
        <v>426189.6329353742</v>
      </c>
      <c r="G712" s="36">
        <f>IF(F711&gt;0,F712/F711-1,"")</f>
        <v/>
      </c>
      <c r="H712" s="36">
        <f>IF(G712="","",G712-$D$12)</f>
        <v/>
      </c>
    </row>
    <row r="713">
      <c r="B713" s="34" t="inlineStr">
        <is>
          <t>2024-06-06</t>
        </is>
      </c>
      <c r="C713" s="35" t="n">
        <v>486563.8193833549</v>
      </c>
      <c r="D713" s="36">
        <f>IF(C712&gt;0,C713/C712-1,"")</f>
        <v/>
      </c>
      <c r="E713" s="36">
        <f>IF(D713="","",D713-$C$12)</f>
        <v/>
      </c>
      <c r="F713" s="35" t="n">
        <v>427522.9557094462</v>
      </c>
      <c r="G713" s="36">
        <f>IF(F712&gt;0,F713/F712-1,"")</f>
        <v/>
      </c>
      <c r="H713" s="36">
        <f>IF(G713="","",G713-$D$12)</f>
        <v/>
      </c>
    </row>
    <row r="714">
      <c r="B714" s="34" t="inlineStr">
        <is>
          <t>2024-06-07</t>
        </is>
      </c>
      <c r="C714" s="35" t="n">
        <v>487095.8366083485</v>
      </c>
      <c r="D714" s="36">
        <f>IF(C713&gt;0,C714/C713-1,"")</f>
        <v/>
      </c>
      <c r="E714" s="36">
        <f>IF(D714="","",D714-$C$12)</f>
        <v/>
      </c>
      <c r="F714" s="35" t="n">
        <v>427316.0226765459</v>
      </c>
      <c r="G714" s="36">
        <f>IF(F713&gt;0,F714/F713-1,"")</f>
        <v/>
      </c>
      <c r="H714" s="36">
        <f>IF(G714="","",G714-$D$12)</f>
        <v/>
      </c>
    </row>
    <row r="715">
      <c r="B715" s="34" t="inlineStr">
        <is>
          <t>2024-06-10</t>
        </is>
      </c>
      <c r="C715" s="35" t="n">
        <v>438391.1529473661</v>
      </c>
      <c r="D715" s="36">
        <f>IF(C714&gt;0,C715/C714-1,"")</f>
        <v/>
      </c>
      <c r="E715" s="36">
        <f>IF(D715="","",D715-$C$12)</f>
        <v/>
      </c>
      <c r="F715" s="35" t="n">
        <v>402900.4287479083</v>
      </c>
      <c r="G715" s="36">
        <f>IF(F714&gt;0,F715/F714-1,"")</f>
        <v/>
      </c>
      <c r="H715" s="36">
        <f>IF(G715="","",G715-$D$12)</f>
        <v/>
      </c>
    </row>
    <row r="716">
      <c r="B716" s="34" t="inlineStr">
        <is>
          <t>2024-06-11</t>
        </is>
      </c>
      <c r="C716" s="35" t="n">
        <v>436729.7060612042</v>
      </c>
      <c r="D716" s="36">
        <f>IF(C715&gt;0,C716/C715-1,"")</f>
        <v/>
      </c>
      <c r="E716" s="36">
        <f>IF(D716="","",D716-$C$12)</f>
        <v/>
      </c>
      <c r="F716" s="35" t="n">
        <v>401492.1266704794</v>
      </c>
      <c r="G716" s="36">
        <f>IF(F715&gt;0,F716/F715-1,"")</f>
        <v/>
      </c>
      <c r="H716" s="36">
        <f>IF(G716="","",G716-$D$12)</f>
        <v/>
      </c>
    </row>
    <row r="717">
      <c r="B717" s="34" t="inlineStr">
        <is>
          <t>2024-06-12</t>
        </is>
      </c>
      <c r="C717" s="35" t="n">
        <v>438951.8933110868</v>
      </c>
      <c r="D717" s="36">
        <f>IF(C716&gt;0,C717/C716-1,"")</f>
        <v/>
      </c>
      <c r="E717" s="36">
        <f>IF(D717="","",D717-$C$12)</f>
        <v/>
      </c>
      <c r="F717" s="35" t="n">
        <v>403175.1269863552</v>
      </c>
      <c r="G717" s="36">
        <f>IF(F716&gt;0,F717/F716-1,"")</f>
        <v/>
      </c>
      <c r="H717" s="36">
        <f>IF(G717="","",G717-$D$12)</f>
        <v/>
      </c>
    </row>
    <row r="718">
      <c r="B718" s="34" t="inlineStr">
        <is>
          <t>2024-06-13</t>
        </is>
      </c>
      <c r="C718" s="35" t="n">
        <v>437862.5023025296</v>
      </c>
      <c r="D718" s="36">
        <f>IF(C717&gt;0,C718/C717-1,"")</f>
        <v/>
      </c>
      <c r="E718" s="36">
        <f>IF(D718="","",D718-$C$12)</f>
        <v/>
      </c>
      <c r="F718" s="35" t="n">
        <v>402071.9051243068</v>
      </c>
      <c r="G718" s="36">
        <f>IF(F717&gt;0,F718/F717-1,"")</f>
        <v/>
      </c>
      <c r="H718" s="36">
        <f>IF(G718="","",G718-$D$12)</f>
        <v/>
      </c>
    </row>
    <row r="719">
      <c r="B719" s="34" t="inlineStr">
        <is>
          <t>2024-06-14</t>
        </is>
      </c>
      <c r="C719" s="35" t="n">
        <v>437131.1833691809</v>
      </c>
      <c r="D719" s="36">
        <f>IF(C718&gt;0,C719/C718-1,"")</f>
        <v/>
      </c>
      <c r="E719" s="36">
        <f>IF(D719="","",D719-$C$12)</f>
        <v/>
      </c>
      <c r="F719" s="35" t="n">
        <v>401126.1395487331</v>
      </c>
      <c r="G719" s="36">
        <f>IF(F718&gt;0,F719/F718-1,"")</f>
        <v/>
      </c>
      <c r="H719" s="36">
        <f>IF(G719="","",G719-$D$12)</f>
        <v/>
      </c>
    </row>
    <row r="720">
      <c r="B720" s="34" t="inlineStr">
        <is>
          <t>2024-06-17</t>
        </is>
      </c>
      <c r="C720" s="35" t="n">
        <v>436884.0614302611</v>
      </c>
      <c r="D720" s="36">
        <f>IF(C719&gt;0,C720/C719-1,"")</f>
        <v/>
      </c>
      <c r="E720" s="36">
        <f>IF(D720="","",D720-$C$12)</f>
        <v/>
      </c>
      <c r="F720" s="35" t="n">
        <v>401047.6128411256</v>
      </c>
      <c r="G720" s="36">
        <f>IF(F719&gt;0,F720/F719-1,"")</f>
        <v/>
      </c>
      <c r="H720" s="36">
        <f>IF(G720="","",G720-$D$12)</f>
        <v/>
      </c>
    </row>
    <row r="721">
      <c r="B721" s="34" t="inlineStr">
        <is>
          <t>2024-06-18</t>
        </is>
      </c>
      <c r="C721" s="35" t="n">
        <v>438189.442977156</v>
      </c>
      <c r="D721" s="36">
        <f>IF(C720&gt;0,C721/C720-1,"")</f>
        <v/>
      </c>
      <c r="E721" s="36">
        <f>IF(D721="","",D721-$C$12)</f>
        <v/>
      </c>
      <c r="F721" s="35" t="n">
        <v>402214.7978433648</v>
      </c>
      <c r="G721" s="36">
        <f>IF(F720&gt;0,F721/F720-1,"")</f>
        <v/>
      </c>
      <c r="H721" s="36">
        <f>IF(G721="","",G721-$D$12)</f>
        <v/>
      </c>
    </row>
    <row r="722">
      <c r="B722" s="34" t="inlineStr">
        <is>
          <t>2024-06-19</t>
        </is>
      </c>
      <c r="C722" s="35" t="n">
        <v>438679.5955495826</v>
      </c>
      <c r="D722" s="36">
        <f>IF(C721&gt;0,C722/C721-1,"")</f>
        <v/>
      </c>
      <c r="E722" s="36">
        <f>IF(D722="","",D722-$C$12)</f>
        <v/>
      </c>
      <c r="F722" s="35" t="n">
        <v>402549.1034935116</v>
      </c>
      <c r="G722" s="36">
        <f>IF(F721&gt;0,F722/F721-1,"")</f>
        <v/>
      </c>
      <c r="H722" s="36">
        <f>IF(G722="","",G722-$D$12)</f>
        <v/>
      </c>
    </row>
    <row r="723">
      <c r="B723" s="34" t="inlineStr">
        <is>
          <t>2024-06-20</t>
        </is>
      </c>
      <c r="C723" s="35" t="n">
        <v>440657.8141905272</v>
      </c>
      <c r="D723" s="36">
        <f>IF(C722&gt;0,C723/C722-1,"")</f>
        <v/>
      </c>
      <c r="E723" s="36">
        <f>IF(D723="","",D723-$C$12)</f>
        <v/>
      </c>
      <c r="F723" s="35" t="n">
        <v>404001.2883867258</v>
      </c>
      <c r="G723" s="36">
        <f>IF(F722&gt;0,F723/F722-1,"")</f>
        <v/>
      </c>
      <c r="H723" s="36">
        <f>IF(G723="","",G723-$D$12)</f>
        <v/>
      </c>
    </row>
    <row r="724">
      <c r="B724" s="34" t="inlineStr">
        <is>
          <t>2024-06-21</t>
        </is>
      </c>
      <c r="C724" s="35" t="n">
        <v>439214.1475405213</v>
      </c>
      <c r="D724" s="36">
        <f>IF(C723&gt;0,C724/C723-1,"")</f>
        <v/>
      </c>
      <c r="E724" s="36">
        <f>IF(D724="","",D724-$C$12)</f>
        <v/>
      </c>
      <c r="F724" s="35" t="n">
        <v>402858.2023703826</v>
      </c>
      <c r="G724" s="36">
        <f>IF(F723&gt;0,F724/F723-1,"")</f>
        <v/>
      </c>
      <c r="H724" s="36">
        <f>IF(G724="","",G724-$D$12)</f>
        <v/>
      </c>
    </row>
    <row r="725">
      <c r="B725" s="34" t="inlineStr">
        <is>
          <t>2024-06-24</t>
        </is>
      </c>
      <c r="C725" s="35" t="n">
        <v>440229.498815002</v>
      </c>
      <c r="D725" s="36">
        <f>IF(C724&gt;0,C725/C724-1,"")</f>
        <v/>
      </c>
      <c r="E725" s="36">
        <f>IF(D725="","",D725-$C$12)</f>
        <v/>
      </c>
      <c r="F725" s="35" t="n">
        <v>404169.1103541744</v>
      </c>
      <c r="G725" s="36">
        <f>IF(F724&gt;0,F725/F724-1,"")</f>
        <v/>
      </c>
      <c r="H725" s="36">
        <f>IF(G725="","",G725-$D$12)</f>
        <v/>
      </c>
    </row>
    <row r="726">
      <c r="B726" s="34" t="inlineStr">
        <is>
          <t>2024-06-25</t>
        </is>
      </c>
      <c r="C726" s="35" t="n">
        <v>440423.2322850936</v>
      </c>
      <c r="D726" s="36">
        <f>IF(C725&gt;0,C726/C725-1,"")</f>
        <v/>
      </c>
      <c r="E726" s="36">
        <f>IF(D726="","",D726-$C$12)</f>
        <v/>
      </c>
      <c r="F726" s="35" t="n">
        <v>403808.5341624204</v>
      </c>
      <c r="G726" s="36">
        <f>IF(F725&gt;0,F726/F725-1,"")</f>
        <v/>
      </c>
      <c r="H726" s="36">
        <f>IF(G726="","",G726-$D$12)</f>
        <v/>
      </c>
    </row>
    <row r="727">
      <c r="B727" s="34" t="inlineStr">
        <is>
          <t>2024-06-26</t>
        </is>
      </c>
      <c r="C727" s="35" t="n">
        <v>438848.3396632079</v>
      </c>
      <c r="D727" s="36">
        <f>IF(C726&gt;0,C727/C726-1,"")</f>
        <v/>
      </c>
      <c r="E727" s="36">
        <f>IF(D727="","",D727-$C$12)</f>
        <v/>
      </c>
      <c r="F727" s="35" t="n">
        <v>402494.5048269071</v>
      </c>
      <c r="G727" s="36">
        <f>IF(F726&gt;0,F727/F726-1,"")</f>
        <v/>
      </c>
      <c r="H727" s="36">
        <f>IF(G727="","",G727-$D$12)</f>
        <v/>
      </c>
    </row>
    <row r="728">
      <c r="B728" s="34" t="inlineStr">
        <is>
          <t>2024-06-27</t>
        </is>
      </c>
      <c r="C728" s="35" t="n">
        <v>438786.9090497151</v>
      </c>
      <c r="D728" s="36">
        <f>IF(C727&gt;0,C728/C727-1,"")</f>
        <v/>
      </c>
      <c r="E728" s="36">
        <f>IF(D728="","",D728-$C$12)</f>
        <v/>
      </c>
      <c r="F728" s="35" t="n">
        <v>402524.2386269558</v>
      </c>
      <c r="G728" s="36">
        <f>IF(F727&gt;0,F728/F727-1,"")</f>
        <v/>
      </c>
      <c r="H728" s="36">
        <f>IF(G728="","",G728-$D$12)</f>
        <v/>
      </c>
    </row>
    <row r="729">
      <c r="B729" s="34" t="inlineStr">
        <is>
          <t>2024-06-28</t>
        </is>
      </c>
      <c r="C729" s="35" t="n">
        <v>438748.8832750931</v>
      </c>
      <c r="D729" s="36">
        <f>IF(C728&gt;0,C729/C728-1,"")</f>
        <v/>
      </c>
      <c r="E729" s="36">
        <f>IF(D729="","",D729-$C$12)</f>
        <v/>
      </c>
      <c r="F729" s="35" t="n">
        <v>402478.8045282491</v>
      </c>
      <c r="G729" s="36">
        <f>IF(F728&gt;0,F729/F728-1,"")</f>
        <v/>
      </c>
      <c r="H729" s="36">
        <f>IF(G729="","",G729-$D$12)</f>
        <v/>
      </c>
    </row>
    <row r="730">
      <c r="B730" s="34" t="inlineStr">
        <is>
          <t>2024-07-01</t>
        </is>
      </c>
      <c r="C730" s="35" t="n">
        <v>440461.6298630472</v>
      </c>
      <c r="D730" s="36">
        <f>IF(C729&gt;0,C730/C729-1,"")</f>
        <v/>
      </c>
      <c r="E730" s="36">
        <f>IF(D730="","",D730-$C$12)</f>
        <v/>
      </c>
      <c r="F730" s="35" t="n">
        <v>403842.3077041515</v>
      </c>
      <c r="G730" s="36">
        <f>IF(F729&gt;0,F730/F729-1,"")</f>
        <v/>
      </c>
      <c r="H730" s="36">
        <f>IF(G730="","",G730-$D$12)</f>
        <v/>
      </c>
    </row>
    <row r="731">
      <c r="B731" s="34" t="inlineStr">
        <is>
          <t>2024-07-02</t>
        </is>
      </c>
      <c r="C731" s="35" t="n">
        <v>439429.2800802885</v>
      </c>
      <c r="D731" s="36">
        <f>IF(C730&gt;0,C731/C730-1,"")</f>
        <v/>
      </c>
      <c r="E731" s="36">
        <f>IF(D731="","",D731-$C$12)</f>
        <v/>
      </c>
      <c r="F731" s="35" t="n">
        <v>403199.9201949719</v>
      </c>
      <c r="G731" s="36">
        <f>IF(F730&gt;0,F731/F730-1,"")</f>
        <v/>
      </c>
      <c r="H731" s="36">
        <f>IF(G731="","",G731-$D$12)</f>
        <v/>
      </c>
    </row>
    <row r="732">
      <c r="B732" s="34" t="inlineStr">
        <is>
          <t>2024-07-03</t>
        </is>
      </c>
      <c r="C732" s="35" t="n">
        <v>439323.9842006785</v>
      </c>
      <c r="D732" s="36">
        <f>IF(C731&gt;0,C732/C731-1,"")</f>
        <v/>
      </c>
      <c r="E732" s="36">
        <f>IF(D732="","",D732-$C$12)</f>
        <v/>
      </c>
      <c r="F732" s="35" t="n">
        <v>403199.9166597953</v>
      </c>
      <c r="G732" s="36">
        <f>IF(F731&gt;0,F732/F731-1,"")</f>
        <v/>
      </c>
      <c r="H732" s="36">
        <f>IF(G732="","",G732-$D$12)</f>
        <v/>
      </c>
    </row>
    <row r="733">
      <c r="B733" s="34" t="inlineStr">
        <is>
          <t>2024-07-04</t>
        </is>
      </c>
      <c r="C733" s="35" t="n">
        <v>439602.8856718382</v>
      </c>
      <c r="D733" s="36">
        <f>IF(C732&gt;0,C733/C732-1,"")</f>
        <v/>
      </c>
      <c r="E733" s="36">
        <f>IF(D733="","",D733-$C$12)</f>
        <v/>
      </c>
      <c r="F733" s="35" t="n">
        <v>403375.1810851209</v>
      </c>
      <c r="G733" s="36">
        <f>IF(F732&gt;0,F733/F732-1,"")</f>
        <v/>
      </c>
      <c r="H733" s="36">
        <f>IF(G733="","",G733-$D$12)</f>
        <v/>
      </c>
    </row>
    <row r="734">
      <c r="B734" s="34" t="inlineStr">
        <is>
          <t>2024-07-05</t>
        </is>
      </c>
      <c r="C734" s="35" t="n">
        <v>438414.3996364579</v>
      </c>
      <c r="D734" s="36">
        <f>IF(C733&gt;0,C734/C733-1,"")</f>
        <v/>
      </c>
      <c r="E734" s="36">
        <f>IF(D734="","",D734-$C$12)</f>
        <v/>
      </c>
      <c r="F734" s="35" t="n">
        <v>402304.2089526028</v>
      </c>
      <c r="G734" s="36">
        <f>IF(F733&gt;0,F734/F733-1,"")</f>
        <v/>
      </c>
      <c r="H734" s="36">
        <f>IF(G734="","",G734-$D$12)</f>
        <v/>
      </c>
    </row>
    <row r="735">
      <c r="B735" s="34" t="inlineStr">
        <is>
          <t>2024-07-08</t>
        </is>
      </c>
      <c r="C735" s="35" t="n">
        <v>439458.2303633787</v>
      </c>
      <c r="D735" s="36">
        <f>IF(C734&gt;0,C735/C734-1,"")</f>
        <v/>
      </c>
      <c r="E735" s="36">
        <f>IF(D735="","",D735-$C$12)</f>
        <v/>
      </c>
      <c r="F735" s="35" t="n">
        <v>402862.0218155016</v>
      </c>
      <c r="G735" s="36">
        <f>IF(F734&gt;0,F735/F734-1,"")</f>
        <v/>
      </c>
      <c r="H735" s="36">
        <f>IF(G735="","",G735-$D$12)</f>
        <v/>
      </c>
    </row>
    <row r="736">
      <c r="B736" s="34" t="inlineStr">
        <is>
          <t>2024-07-09</t>
        </is>
      </c>
      <c r="C736" s="35" t="n">
        <v>439725.8104786331</v>
      </c>
      <c r="D736" s="36">
        <f>IF(C735&gt;0,C736/C735-1,"")</f>
        <v/>
      </c>
      <c r="E736" s="36">
        <f>IF(D736="","",D736-$C$12)</f>
        <v/>
      </c>
      <c r="F736" s="35" t="n">
        <v>403396.9689181106</v>
      </c>
      <c r="G736" s="36">
        <f>IF(F735&gt;0,F736/F735-1,"")</f>
        <v/>
      </c>
      <c r="H736" s="36">
        <f>IF(G736="","",G736-$D$12)</f>
        <v/>
      </c>
    </row>
    <row r="737">
      <c r="B737" s="34" t="inlineStr">
        <is>
          <t>2024-07-10</t>
        </is>
      </c>
      <c r="C737" s="35" t="n">
        <v>442295.3190240999</v>
      </c>
      <c r="D737" s="36">
        <f>IF(C736&gt;0,C737/C736-1,"")</f>
        <v/>
      </c>
      <c r="E737" s="36">
        <f>IF(D737="","",D737-$C$12)</f>
        <v/>
      </c>
      <c r="F737" s="35" t="n">
        <v>405746.4261938785</v>
      </c>
      <c r="G737" s="36">
        <f>IF(F736&gt;0,F737/F736-1,"")</f>
        <v/>
      </c>
      <c r="H737" s="36">
        <f>IF(G737="","",G737-$D$12)</f>
        <v/>
      </c>
    </row>
    <row r="738">
      <c r="B738" s="34" t="inlineStr">
        <is>
          <t>2024-07-11</t>
        </is>
      </c>
      <c r="C738" s="35" t="n">
        <v>442436.827386494</v>
      </c>
      <c r="D738" s="36">
        <f>IF(C737&gt;0,C738/C737-1,"")</f>
        <v/>
      </c>
      <c r="E738" s="36">
        <f>IF(D738="","",D738-$C$12)</f>
        <v/>
      </c>
      <c r="F738" s="35" t="n">
        <v>406287.0000526394</v>
      </c>
      <c r="G738" s="36">
        <f>IF(F737&gt;0,F738/F737-1,"")</f>
        <v/>
      </c>
      <c r="H738" s="36">
        <f>IF(G738="","",G738-$D$12)</f>
        <v/>
      </c>
    </row>
    <row r="739">
      <c r="B739" s="34" t="inlineStr">
        <is>
          <t>2024-07-12</t>
        </is>
      </c>
      <c r="C739" s="35" t="n">
        <v>443928.654788597</v>
      </c>
      <c r="D739" s="36">
        <f>IF(C738&gt;0,C739/C738-1,"")</f>
        <v/>
      </c>
      <c r="E739" s="36">
        <f>IF(D739="","",D739-$C$12)</f>
        <v/>
      </c>
      <c r="F739" s="35" t="n">
        <v>407435.4780982976</v>
      </c>
      <c r="G739" s="36">
        <f>IF(F738&gt;0,F739/F738-1,"")</f>
        <v/>
      </c>
      <c r="H739" s="36">
        <f>IF(G739="","",G739-$D$12)</f>
        <v/>
      </c>
    </row>
    <row r="740">
      <c r="B740" s="34" t="inlineStr">
        <is>
          <t>2024-07-15</t>
        </is>
      </c>
      <c r="C740" s="35" t="n">
        <v>443836.1619129998</v>
      </c>
      <c r="D740" s="36">
        <f>IF(C739&gt;0,C740/C739-1,"")</f>
        <v/>
      </c>
      <c r="E740" s="36">
        <f>IF(D740="","",D740-$C$12)</f>
        <v/>
      </c>
      <c r="F740" s="35" t="n">
        <v>407182.9492520579</v>
      </c>
      <c r="G740" s="36">
        <f>IF(F739&gt;0,F740/F739-1,"")</f>
        <v/>
      </c>
      <c r="H740" s="36">
        <f>IF(G740="","",G740-$D$12)</f>
        <v/>
      </c>
    </row>
    <row r="741">
      <c r="B741" s="34" t="inlineStr">
        <is>
          <t>2024-07-16</t>
        </is>
      </c>
      <c r="C741" s="35" t="n">
        <v>442920.7747913313</v>
      </c>
      <c r="D741" s="36">
        <f>IF(C740&gt;0,C741/C740-1,"")</f>
        <v/>
      </c>
      <c r="E741" s="36">
        <f>IF(D741="","",D741-$C$12)</f>
        <v/>
      </c>
      <c r="F741" s="35" t="n">
        <v>406514.6871053361</v>
      </c>
      <c r="G741" s="36">
        <f>IF(F740&gt;0,F741/F740-1,"")</f>
        <v/>
      </c>
      <c r="H741" s="36">
        <f>IF(G741="","",G741-$D$12)</f>
        <v/>
      </c>
    </row>
    <row r="742">
      <c r="B742" s="34" t="inlineStr">
        <is>
          <t>2024-07-17</t>
        </is>
      </c>
      <c r="C742" s="35" t="n">
        <v>442109.1371598559</v>
      </c>
      <c r="D742" s="36">
        <f>IF(C741&gt;0,C742/C741-1,"")</f>
        <v/>
      </c>
      <c r="E742" s="36">
        <f>IF(D742="","",D742-$C$12)</f>
        <v/>
      </c>
      <c r="F742" s="35" t="n">
        <v>406500.8341903956</v>
      </c>
      <c r="G742" s="36">
        <f>IF(F741&gt;0,F742/F741-1,"")</f>
        <v/>
      </c>
      <c r="H742" s="36">
        <f>IF(G742="","",G742-$D$12)</f>
        <v/>
      </c>
    </row>
    <row r="743">
      <c r="B743" s="34" t="inlineStr">
        <is>
          <t>2024-07-18</t>
        </is>
      </c>
      <c r="C743" s="35" t="n">
        <v>441566.4176908208</v>
      </c>
      <c r="D743" s="36">
        <f>IF(C742&gt;0,C743/C742-1,"")</f>
        <v/>
      </c>
      <c r="E743" s="36">
        <f>IF(D743="","",D743-$C$12)</f>
        <v/>
      </c>
      <c r="F743" s="35" t="n">
        <v>406211.7842803661</v>
      </c>
      <c r="G743" s="36">
        <f>IF(F742&gt;0,F743/F742-1,"")</f>
        <v/>
      </c>
      <c r="H743" s="36">
        <f>IF(G743="","",G743-$D$12)</f>
        <v/>
      </c>
    </row>
    <row r="744">
      <c r="B744" s="34" t="inlineStr">
        <is>
          <t>2024-07-19</t>
        </is>
      </c>
      <c r="C744" s="35" t="n">
        <v>440552.916571027</v>
      </c>
      <c r="D744" s="36">
        <f>IF(C743&gt;0,C744/C743-1,"")</f>
        <v/>
      </c>
      <c r="E744" s="36">
        <f>IF(D744="","",D744-$C$12)</f>
        <v/>
      </c>
      <c r="F744" s="35" t="n">
        <v>405338.0328544393</v>
      </c>
      <c r="G744" s="36">
        <f>IF(F743&gt;0,F744/F743-1,"")</f>
        <v/>
      </c>
      <c r="H744" s="36">
        <f>IF(G744="","",G744-$D$12)</f>
        <v/>
      </c>
    </row>
    <row r="745">
      <c r="B745" s="34" t="inlineStr">
        <is>
          <t>2024-07-22</t>
        </is>
      </c>
      <c r="C745" s="35" t="n">
        <v>442458.5860463801</v>
      </c>
      <c r="D745" s="36">
        <f>IF(C744&gt;0,C745/C744-1,"")</f>
        <v/>
      </c>
      <c r="E745" s="36">
        <f>IF(D745="","",D745-$C$12)</f>
        <v/>
      </c>
      <c r="F745" s="35" t="n">
        <v>407492.9619609478</v>
      </c>
      <c r="G745" s="36">
        <f>IF(F744&gt;0,F745/F744-1,"")</f>
        <v/>
      </c>
      <c r="H745" s="36">
        <f>IF(G745="","",G745-$D$12)</f>
        <v/>
      </c>
    </row>
    <row r="746">
      <c r="B746" s="34" t="inlineStr">
        <is>
          <t>2024-07-23</t>
        </is>
      </c>
      <c r="C746" s="35" t="n">
        <v>442731.6587378478</v>
      </c>
      <c r="D746" s="36">
        <f>IF(C745&gt;0,C746/C745-1,"")</f>
        <v/>
      </c>
      <c r="E746" s="36">
        <f>IF(D746="","",D746-$C$12)</f>
        <v/>
      </c>
      <c r="F746" s="35" t="n">
        <v>407153.1264749782</v>
      </c>
      <c r="G746" s="36">
        <f>IF(F745&gt;0,F746/F745-1,"")</f>
        <v/>
      </c>
      <c r="H746" s="36">
        <f>IF(G746="","",G746-$D$12)</f>
        <v/>
      </c>
    </row>
    <row r="747">
      <c r="B747" s="34" t="inlineStr">
        <is>
          <t>2024-07-24</t>
        </is>
      </c>
      <c r="C747" s="35" t="n">
        <v>440451.0591709143</v>
      </c>
      <c r="D747" s="36">
        <f>IF(C746&gt;0,C747/C746-1,"")</f>
        <v/>
      </c>
      <c r="E747" s="36">
        <f>IF(D747="","",D747-$C$12)</f>
        <v/>
      </c>
      <c r="F747" s="35" t="n">
        <v>405697.7289289355</v>
      </c>
      <c r="G747" s="36">
        <f>IF(F746&gt;0,F747/F746-1,"")</f>
        <v/>
      </c>
      <c r="H747" s="36">
        <f>IF(G747="","",G747-$D$12)</f>
        <v/>
      </c>
    </row>
    <row r="748">
      <c r="B748" s="34" t="inlineStr">
        <is>
          <t>2024-07-25</t>
        </is>
      </c>
      <c r="C748" s="35" t="n">
        <v>438012.8937341974</v>
      </c>
      <c r="D748" s="36">
        <f>IF(C747&gt;0,C748/C747-1,"")</f>
        <v/>
      </c>
      <c r="E748" s="36">
        <f>IF(D748="","",D748-$C$12)</f>
        <v/>
      </c>
      <c r="F748" s="35" t="n">
        <v>404152.1686970871</v>
      </c>
      <c r="G748" s="36">
        <f>IF(F747&gt;0,F748/F747-1,"")</f>
        <v/>
      </c>
      <c r="H748" s="36">
        <f>IF(G748="","",G748-$D$12)</f>
        <v/>
      </c>
    </row>
    <row r="749">
      <c r="B749" s="34" t="inlineStr">
        <is>
          <t>2024-07-26</t>
        </is>
      </c>
      <c r="C749" s="35" t="n">
        <v>439545.8004263468</v>
      </c>
      <c r="D749" s="36">
        <f>IF(C748&gt;0,C749/C748-1,"")</f>
        <v/>
      </c>
      <c r="E749" s="36">
        <f>IF(D749="","",D749-$C$12)</f>
        <v/>
      </c>
      <c r="F749" s="35" t="n">
        <v>405764.7851448031</v>
      </c>
      <c r="G749" s="36">
        <f>IF(F748&gt;0,F749/F748-1,"")</f>
        <v/>
      </c>
      <c r="H749" s="36">
        <f>IF(G749="","",G749-$D$12)</f>
        <v/>
      </c>
    </row>
    <row r="750">
      <c r="B750" s="34" t="inlineStr">
        <is>
          <t>2024-07-29</t>
        </is>
      </c>
      <c r="C750" s="35" t="n">
        <v>439950.8448335966</v>
      </c>
      <c r="D750" s="36">
        <f>IF(C749&gt;0,C750/C749-1,"")</f>
        <v/>
      </c>
      <c r="E750" s="36">
        <f>IF(D750="","",D750-$C$12)</f>
        <v/>
      </c>
      <c r="F750" s="35" t="n">
        <v>405922.3112054056</v>
      </c>
      <c r="G750" s="36">
        <f>IF(F749&gt;0,F750/F749-1,"")</f>
        <v/>
      </c>
      <c r="H750" s="36">
        <f>IF(G750="","",G750-$D$12)</f>
        <v/>
      </c>
    </row>
    <row r="751">
      <c r="B751" s="34" t="inlineStr">
        <is>
          <t>2024-07-30</t>
        </is>
      </c>
      <c r="C751" s="35" t="n">
        <v>440658.0224262199</v>
      </c>
      <c r="D751" s="36">
        <f>IF(C750&gt;0,C751/C750-1,"")</f>
        <v/>
      </c>
      <c r="E751" s="36">
        <f>IF(D751="","",D751-$C$12)</f>
        <v/>
      </c>
      <c r="F751" s="35" t="n">
        <v>406330.5322967444</v>
      </c>
      <c r="G751" s="36">
        <f>IF(F750&gt;0,F751/F750-1,"")</f>
        <v/>
      </c>
      <c r="H751" s="36">
        <f>IF(G751="","",G751-$D$12)</f>
        <v/>
      </c>
    </row>
    <row r="752">
      <c r="B752" s="34" t="inlineStr">
        <is>
          <t>2024-07-31</t>
        </is>
      </c>
      <c r="C752" s="35" t="n">
        <v>441769.8532514827</v>
      </c>
      <c r="D752" s="36">
        <f>IF(C751&gt;0,C752/C751-1,"")</f>
        <v/>
      </c>
      <c r="E752" s="36">
        <f>IF(D752="","",D752-$C$12)</f>
        <v/>
      </c>
      <c r="F752" s="35" t="n">
        <v>407162.666593566</v>
      </c>
      <c r="G752" s="36">
        <f>IF(F751&gt;0,F752/F751-1,"")</f>
        <v/>
      </c>
      <c r="H752" s="36">
        <f>IF(G752="","",G752-$D$12)</f>
        <v/>
      </c>
    </row>
    <row r="753">
      <c r="B753" s="34" t="inlineStr">
        <is>
          <t>2024-08-01</t>
        </is>
      </c>
      <c r="C753" s="35" t="n">
        <v>440672.6771476453</v>
      </c>
      <c r="D753" s="36">
        <f>IF(C752&gt;0,C753/C752-1,"")</f>
        <v/>
      </c>
      <c r="E753" s="36">
        <f>IF(D753="","",D753-$C$12)</f>
        <v/>
      </c>
      <c r="F753" s="35" t="n">
        <v>406248.3072148833</v>
      </c>
      <c r="G753" s="36">
        <f>IF(F752&gt;0,F753/F752-1,"")</f>
        <v/>
      </c>
      <c r="H753" s="36">
        <f>IF(G753="","",G753-$D$12)</f>
        <v/>
      </c>
    </row>
    <row r="754">
      <c r="B754" s="34" t="inlineStr">
        <is>
          <t>2024-08-02</t>
        </is>
      </c>
      <c r="C754" s="35" t="n">
        <v>433006.0028756756</v>
      </c>
      <c r="D754" s="36">
        <f>IF(C753&gt;0,C754/C753-1,"")</f>
        <v/>
      </c>
      <c r="E754" s="36">
        <f>IF(D754="","",D754-$C$12)</f>
        <v/>
      </c>
      <c r="F754" s="35" t="n">
        <v>399697.7635823303</v>
      </c>
      <c r="G754" s="36">
        <f>IF(F753&gt;0,F754/F753-1,"")</f>
        <v/>
      </c>
      <c r="H754" s="36">
        <f>IF(G754="","",G754-$D$12)</f>
        <v/>
      </c>
    </row>
    <row r="755">
      <c r="B755" s="34" t="inlineStr">
        <is>
          <t>2024-08-05</t>
        </is>
      </c>
      <c r="C755" s="35" t="n">
        <v>423271.8307311407</v>
      </c>
      <c r="D755" s="36">
        <f>IF(C754&gt;0,C755/C754-1,"")</f>
        <v/>
      </c>
      <c r="E755" s="36">
        <f>IF(D755="","",D755-$C$12)</f>
        <v/>
      </c>
      <c r="F755" s="35" t="n">
        <v>391236.9886448956</v>
      </c>
      <c r="G755" s="36">
        <f>IF(F754&gt;0,F755/F754-1,"")</f>
        <v/>
      </c>
      <c r="H755" s="36">
        <f>IF(G755="","",G755-$D$12)</f>
        <v/>
      </c>
    </row>
    <row r="756">
      <c r="B756" s="34" t="inlineStr">
        <is>
          <t>2024-08-06</t>
        </is>
      </c>
      <c r="C756" s="35" t="n">
        <v>424105.298320808</v>
      </c>
      <c r="D756" s="36">
        <f>IF(C755&gt;0,C756/C755-1,"")</f>
        <v/>
      </c>
      <c r="E756" s="36">
        <f>IF(D756="","",D756-$C$12)</f>
        <v/>
      </c>
      <c r="F756" s="35" t="n">
        <v>391440.3455985715</v>
      </c>
      <c r="G756" s="36">
        <f>IF(F755&gt;0,F756/F755-1,"")</f>
        <v/>
      </c>
      <c r="H756" s="36">
        <f>IF(G756="","",G756-$D$12)</f>
        <v/>
      </c>
    </row>
    <row r="757">
      <c r="B757" s="34" t="inlineStr">
        <is>
          <t>2024-08-07</t>
        </is>
      </c>
      <c r="C757" s="35" t="n">
        <v>428354.2482584242</v>
      </c>
      <c r="D757" s="36">
        <f>IF(C756&gt;0,C757/C756-1,"")</f>
        <v/>
      </c>
      <c r="E757" s="36">
        <f>IF(D757="","",D757-$C$12)</f>
        <v/>
      </c>
      <c r="F757" s="35" t="n">
        <v>395734.0237225168</v>
      </c>
      <c r="G757" s="36">
        <f>IF(F756&gt;0,F757/F756-1,"")</f>
        <v/>
      </c>
      <c r="H757" s="36">
        <f>IF(G757="","",G757-$D$12)</f>
        <v/>
      </c>
    </row>
    <row r="758">
      <c r="B758" s="34" t="inlineStr">
        <is>
          <t>2024-08-08</t>
        </is>
      </c>
      <c r="C758" s="35" t="n">
        <v>430023.442975949</v>
      </c>
      <c r="D758" s="36">
        <f>IF(C757&gt;0,C758/C757-1,"")</f>
        <v/>
      </c>
      <c r="E758" s="36">
        <f>IF(D758="","",D758-$C$12)</f>
        <v/>
      </c>
      <c r="F758" s="35" t="n">
        <v>396908.2789874595</v>
      </c>
      <c r="G758" s="36">
        <f>IF(F757&gt;0,F758/F757-1,"")</f>
        <v/>
      </c>
      <c r="H758" s="36">
        <f>IF(G758="","",G758-$D$12)</f>
        <v/>
      </c>
    </row>
    <row r="759">
      <c r="B759" s="34" t="inlineStr">
        <is>
          <t>2024-08-09</t>
        </is>
      </c>
      <c r="C759" s="35" t="n">
        <v>432237.7152877417</v>
      </c>
      <c r="D759" s="36">
        <f>IF(C758&gt;0,C759/C758-1,"")</f>
        <v/>
      </c>
      <c r="E759" s="36">
        <f>IF(D759="","",D759-$C$12)</f>
        <v/>
      </c>
      <c r="F759" s="35" t="n">
        <v>398347.4622640124</v>
      </c>
      <c r="G759" s="36">
        <f>IF(F758&gt;0,F759/F758-1,"")</f>
        <v/>
      </c>
      <c r="H759" s="36">
        <f>IF(G759="","",G759-$D$12)</f>
        <v/>
      </c>
    </row>
    <row r="760">
      <c r="B760" s="34" t="inlineStr">
        <is>
          <t>2024-08-12</t>
        </is>
      </c>
      <c r="C760" s="35" t="n">
        <v>432454.2226773639</v>
      </c>
      <c r="D760" s="36">
        <f>IF(C759&gt;0,C760/C759-1,"")</f>
        <v/>
      </c>
      <c r="E760" s="36">
        <f>IF(D760="","",D760-$C$12)</f>
        <v/>
      </c>
      <c r="F760" s="35" t="n">
        <v>398890.7548733391</v>
      </c>
      <c r="G760" s="36">
        <f>IF(F759&gt;0,F760/F759-1,"")</f>
        <v/>
      </c>
      <c r="H760" s="36">
        <f>IF(G760="","",G760-$D$12)</f>
        <v/>
      </c>
    </row>
    <row r="761">
      <c r="B761" s="34" t="inlineStr">
        <is>
          <t>2024-08-13</t>
        </is>
      </c>
      <c r="C761" s="35" t="n">
        <v>433763.3953892489</v>
      </c>
      <c r="D761" s="36">
        <f>IF(C760&gt;0,C761/C760-1,"")</f>
        <v/>
      </c>
      <c r="E761" s="36">
        <f>IF(D761="","",D761-$C$12)</f>
        <v/>
      </c>
      <c r="F761" s="35" t="n">
        <v>400001.5702256174</v>
      </c>
      <c r="G761" s="36">
        <f>IF(F760&gt;0,F761/F760-1,"")</f>
        <v/>
      </c>
      <c r="H761" s="36">
        <f>IF(G761="","",G761-$D$12)</f>
        <v/>
      </c>
    </row>
    <row r="762">
      <c r="B762" s="34" t="inlineStr">
        <is>
          <t>2024-08-14</t>
        </is>
      </c>
      <c r="C762" s="35" t="n">
        <v>435691.6765507493</v>
      </c>
      <c r="D762" s="36">
        <f>IF(C761&gt;0,C762/C761-1,"")</f>
        <v/>
      </c>
      <c r="E762" s="36">
        <f>IF(D762="","",D762-$C$12)</f>
        <v/>
      </c>
      <c r="F762" s="35" t="n">
        <v>401463.67230619</v>
      </c>
      <c r="G762" s="36">
        <f>IF(F761&gt;0,F762/F761-1,"")</f>
        <v/>
      </c>
      <c r="H762" s="36">
        <f>IF(G762="","",G762-$D$12)</f>
        <v/>
      </c>
    </row>
    <row r="763">
      <c r="B763" s="34" t="inlineStr">
        <is>
          <t>2024-08-15</t>
        </is>
      </c>
      <c r="C763" s="35" t="n">
        <v>438192.0541324548</v>
      </c>
      <c r="D763" s="36">
        <f>IF(C762&gt;0,C763/C762-1,"")</f>
        <v/>
      </c>
      <c r="E763" s="36">
        <f>IF(D763="","",D763-$C$12)</f>
        <v/>
      </c>
      <c r="F763" s="35" t="n">
        <v>403600.9561171672</v>
      </c>
      <c r="G763" s="36">
        <f>IF(F762&gt;0,F763/F762-1,"")</f>
        <v/>
      </c>
      <c r="H763" s="36">
        <f>IF(G763="","",G763-$D$12)</f>
        <v/>
      </c>
    </row>
    <row r="764">
      <c r="B764" s="34" t="inlineStr">
        <is>
          <t>2024-08-16</t>
        </is>
      </c>
      <c r="C764" s="35" t="n">
        <v>438863.235031965</v>
      </c>
      <c r="D764" s="36">
        <f>IF(C763&gt;0,C764/C763-1,"")</f>
        <v/>
      </c>
      <c r="E764" s="36">
        <f>IF(D764="","",D764-$C$12)</f>
        <v/>
      </c>
      <c r="F764" s="35" t="n">
        <v>404181.3976981247</v>
      </c>
      <c r="G764" s="36">
        <f>IF(F763&gt;0,F764/F763-1,"")</f>
        <v/>
      </c>
      <c r="H764" s="36">
        <f>IF(G764="","",G764-$D$12)</f>
        <v/>
      </c>
    </row>
    <row r="765">
      <c r="B765" s="34" t="inlineStr">
        <is>
          <t>2024-08-19</t>
        </is>
      </c>
      <c r="C765" s="35" t="n">
        <v>440159.4921191162</v>
      </c>
      <c r="D765" s="36">
        <f>IF(C764&gt;0,C765/C764-1,"")</f>
        <v/>
      </c>
      <c r="E765" s="36">
        <f>IF(D765="","",D765-$C$12)</f>
        <v/>
      </c>
      <c r="F765" s="35" t="n">
        <v>405156.3155883207</v>
      </c>
      <c r="G765" s="36">
        <f>IF(F764&gt;0,F765/F764-1,"")</f>
        <v/>
      </c>
      <c r="H765" s="36">
        <f>IF(G765="","",G765-$D$12)</f>
        <v/>
      </c>
    </row>
    <row r="766">
      <c r="B766" s="34" t="inlineStr">
        <is>
          <t>2024-08-20</t>
        </is>
      </c>
      <c r="C766" s="35" t="n">
        <v>439057.0605240987</v>
      </c>
      <c r="D766" s="36">
        <f>IF(C765&gt;0,C766/C765-1,"")</f>
        <v/>
      </c>
      <c r="E766" s="36">
        <f>IF(D766="","",D766-$C$12)</f>
        <v/>
      </c>
      <c r="F766" s="35" t="n">
        <v>404251.5866561203</v>
      </c>
      <c r="G766" s="36">
        <f>IF(F765&gt;0,F766/F765-1,"")</f>
        <v/>
      </c>
      <c r="H766" s="36">
        <f>IF(G766="","",G766-$D$12)</f>
        <v/>
      </c>
    </row>
    <row r="767">
      <c r="B767" s="34" t="inlineStr">
        <is>
          <t>2024-08-21</t>
        </is>
      </c>
      <c r="C767" s="35" t="n">
        <v>438715.1472216676</v>
      </c>
      <c r="D767" s="36">
        <f>IF(C766&gt;0,C767/C766-1,"")</f>
        <v/>
      </c>
      <c r="E767" s="36">
        <f>IF(D767="","",D767-$C$12)</f>
        <v/>
      </c>
      <c r="F767" s="35" t="n">
        <v>403945.0055010561</v>
      </c>
      <c r="G767" s="36">
        <f>IF(F766&gt;0,F767/F766-1,"")</f>
        <v/>
      </c>
      <c r="H767" s="36">
        <f>IF(G767="","",G767-$D$12)</f>
        <v/>
      </c>
    </row>
    <row r="768">
      <c r="B768" s="34" t="inlineStr">
        <is>
          <t>2024-08-22</t>
        </is>
      </c>
      <c r="C768" s="35" t="n">
        <v>439875.63109458</v>
      </c>
      <c r="D768" s="36">
        <f>IF(C767&gt;0,C768/C767-1,"")</f>
        <v/>
      </c>
      <c r="E768" s="36">
        <f>IF(D768="","",D768-$C$12)</f>
        <v/>
      </c>
      <c r="F768" s="35" t="n">
        <v>404844.615943333</v>
      </c>
      <c r="G768" s="36">
        <f>IF(F767&gt;0,F768/F767-1,"")</f>
        <v/>
      </c>
      <c r="H768" s="36">
        <f>IF(G768="","",G768-$D$12)</f>
        <v/>
      </c>
    </row>
    <row r="769">
      <c r="B769" s="34" t="inlineStr">
        <is>
          <t>2024-08-23</t>
        </is>
      </c>
      <c r="C769" s="35" t="n">
        <v>441607.5980771024</v>
      </c>
      <c r="D769" s="36">
        <f>IF(C768&gt;0,C769/C768-1,"")</f>
        <v/>
      </c>
      <c r="E769" s="36">
        <f>IF(D769="","",D769-$C$12)</f>
        <v/>
      </c>
      <c r="F769" s="35" t="n">
        <v>406347.2701614602</v>
      </c>
      <c r="G769" s="36">
        <f>IF(F768&gt;0,F769/F768-1,"")</f>
        <v/>
      </c>
      <c r="H769" s="36">
        <f>IF(G769="","",G769-$D$12)</f>
        <v/>
      </c>
    </row>
    <row r="770">
      <c r="B770" s="34" t="inlineStr">
        <is>
          <t>2024-08-26</t>
        </is>
      </c>
      <c r="C770" s="35" t="n">
        <v>441347.423855268</v>
      </c>
      <c r="D770" s="36">
        <f>IF(C769&gt;0,C770/C769-1,"")</f>
        <v/>
      </c>
      <c r="E770" s="36">
        <f>IF(D770="","",D770-$C$12)</f>
        <v/>
      </c>
      <c r="F770" s="35" t="n">
        <v>406163.2038114884</v>
      </c>
      <c r="G770" s="36">
        <f>IF(F769&gt;0,F770/F769-1,"")</f>
        <v/>
      </c>
      <c r="H770" s="36">
        <f>IF(G770="","",G770-$D$12)</f>
        <v/>
      </c>
    </row>
    <row r="771">
      <c r="B771" s="34" t="inlineStr">
        <is>
          <t>2024-08-27</t>
        </is>
      </c>
      <c r="C771" s="35" t="n">
        <v>439940.0920980206</v>
      </c>
      <c r="D771" s="36">
        <f>IF(C770&gt;0,C771/C770-1,"")</f>
        <v/>
      </c>
      <c r="E771" s="36">
        <f>IF(D771="","",D771-$C$12)</f>
        <v/>
      </c>
      <c r="F771" s="35" t="n">
        <v>404992.6712031788</v>
      </c>
      <c r="G771" s="36">
        <f>IF(F770&gt;0,F771/F770-1,"")</f>
        <v/>
      </c>
      <c r="H771" s="36">
        <f>IF(G771="","",G771-$D$12)</f>
        <v/>
      </c>
    </row>
    <row r="772">
      <c r="B772" s="34" t="inlineStr">
        <is>
          <t>2024-08-28</t>
        </is>
      </c>
      <c r="C772" s="35" t="n">
        <v>440148.1333425594</v>
      </c>
      <c r="D772" s="36">
        <f>IF(C771&gt;0,C772/C771-1,"")</f>
        <v/>
      </c>
      <c r="E772" s="36">
        <f>IF(D772="","",D772-$C$12)</f>
        <v/>
      </c>
      <c r="F772" s="35" t="n">
        <v>405086.8396918814</v>
      </c>
      <c r="G772" s="36">
        <f>IF(F771&gt;0,F772/F771-1,"")</f>
        <v/>
      </c>
      <c r="H772" s="36">
        <f>IF(G772="","",G772-$D$12)</f>
        <v/>
      </c>
    </row>
    <row r="773">
      <c r="B773" s="34" t="inlineStr">
        <is>
          <t>2024-08-29</t>
        </is>
      </c>
      <c r="C773" s="35" t="n">
        <v>441236.9252459992</v>
      </c>
      <c r="D773" s="36">
        <f>IF(C772&gt;0,C773/C772-1,"")</f>
        <v/>
      </c>
      <c r="E773" s="36">
        <f>IF(D773="","",D773-$C$12)</f>
        <v/>
      </c>
      <c r="F773" s="35" t="n">
        <v>406273.6296934394</v>
      </c>
      <c r="G773" s="36">
        <f>IF(F772&gt;0,F773/F772-1,"")</f>
        <v/>
      </c>
      <c r="H773" s="36">
        <f>IF(G773="","",G773-$D$12)</f>
        <v/>
      </c>
    </row>
    <row r="774">
      <c r="B774" s="34" t="inlineStr">
        <is>
          <t>2024-08-30</t>
        </is>
      </c>
      <c r="C774" s="35" t="n">
        <v>441953.6698293142</v>
      </c>
      <c r="D774" s="36">
        <f>IF(C773&gt;0,C774/C773-1,"")</f>
        <v/>
      </c>
      <c r="E774" s="36">
        <f>IF(D774="","",D774-$C$12)</f>
        <v/>
      </c>
      <c r="F774" s="35" t="n">
        <v>406887.7447077372</v>
      </c>
      <c r="G774" s="36">
        <f>IF(F773&gt;0,F774/F773-1,"")</f>
        <v/>
      </c>
      <c r="H774" s="36">
        <f>IF(G774="","",G774-$D$12)</f>
        <v/>
      </c>
    </row>
    <row r="775">
      <c r="B775" s="34" t="inlineStr">
        <is>
          <t>2024-09-02</t>
        </is>
      </c>
      <c r="C775" s="35" t="n">
        <v>442310.5464332619</v>
      </c>
      <c r="D775" s="36">
        <f>IF(C774&gt;0,C775/C774-1,"")</f>
        <v/>
      </c>
      <c r="E775" s="36">
        <f>IF(D775="","",D775-$C$12)</f>
        <v/>
      </c>
      <c r="F775" s="35" t="n">
        <v>407626.4967298927</v>
      </c>
      <c r="G775" s="36">
        <f>IF(F774&gt;0,F775/F774-1,"")</f>
        <v/>
      </c>
      <c r="H775" s="36">
        <f>IF(G775="","",G775-$D$12)</f>
        <v/>
      </c>
    </row>
    <row r="776">
      <c r="B776" s="34" t="inlineStr">
        <is>
          <t>2024-09-03</t>
        </is>
      </c>
      <c r="C776" s="35" t="n">
        <v>439941.4769837647</v>
      </c>
      <c r="D776" s="36">
        <f>IF(C775&gt;0,C776/C775-1,"")</f>
        <v/>
      </c>
      <c r="E776" s="36">
        <f>IF(D776="","",D776-$C$12)</f>
        <v/>
      </c>
      <c r="F776" s="35" t="n">
        <v>405523.3891718248</v>
      </c>
      <c r="G776" s="36">
        <f>IF(F775&gt;0,F776/F775-1,"")</f>
        <v/>
      </c>
      <c r="H776" s="36">
        <f>IF(G776="","",G776-$D$12)</f>
        <v/>
      </c>
    </row>
    <row r="777">
      <c r="B777" s="34" t="inlineStr">
        <is>
          <t>2024-09-04</t>
        </is>
      </c>
      <c r="C777" s="35" t="n">
        <v>437661.136946335</v>
      </c>
      <c r="D777" s="36">
        <f>IF(C776&gt;0,C777/C776-1,"")</f>
        <v/>
      </c>
      <c r="E777" s="36">
        <f>IF(D777="","",D777-$C$12)</f>
        <v/>
      </c>
      <c r="F777" s="35" t="n">
        <v>403454.6505255685</v>
      </c>
      <c r="G777" s="36">
        <f>IF(F776&gt;0,F777/F776-1,"")</f>
        <v/>
      </c>
      <c r="H777" s="36">
        <f>IF(G777="","",G777-$D$12)</f>
        <v/>
      </c>
    </row>
    <row r="778">
      <c r="B778" s="34" t="inlineStr">
        <is>
          <t>2024-09-05</t>
        </is>
      </c>
      <c r="C778" s="35" t="n">
        <v>435895.550500914</v>
      </c>
      <c r="D778" s="36">
        <f>IF(C777&gt;0,C778/C777-1,"")</f>
        <v/>
      </c>
      <c r="E778" s="36">
        <f>IF(D778="","",D778-$C$12)</f>
        <v/>
      </c>
      <c r="F778" s="35" t="n">
        <v>401655.2501591239</v>
      </c>
      <c r="G778" s="36">
        <f>IF(F777&gt;0,F778/F777-1,"")</f>
        <v/>
      </c>
      <c r="H778" s="36">
        <f>IF(G778="","",G778-$D$12)</f>
        <v/>
      </c>
    </row>
    <row r="779">
      <c r="B779" s="34" t="inlineStr">
        <is>
          <t>2024-09-06</t>
        </is>
      </c>
      <c r="C779" s="35" t="n">
        <v>433240.753432216</v>
      </c>
      <c r="D779" s="36">
        <f>IF(C778&gt;0,C779/C778-1,"")</f>
        <v/>
      </c>
      <c r="E779" s="36">
        <f>IF(D779="","",D779-$C$12)</f>
        <v/>
      </c>
      <c r="F779" s="35" t="n">
        <v>399308.549919173</v>
      </c>
      <c r="G779" s="36">
        <f>IF(F778&gt;0,F779/F778-1,"")</f>
        <v/>
      </c>
      <c r="H779" s="36">
        <f>IF(G779="","",G779-$D$12)</f>
        <v/>
      </c>
    </row>
    <row r="780">
      <c r="B780" s="34" t="inlineStr">
        <is>
          <t>2024-09-09</t>
        </is>
      </c>
      <c r="C780" s="35" t="n">
        <v>434968.133043035</v>
      </c>
      <c r="D780" s="36">
        <f>IF(C779&gt;0,C780/C779-1,"")</f>
        <v/>
      </c>
      <c r="E780" s="36">
        <f>IF(D780="","",D780-$C$12)</f>
        <v/>
      </c>
      <c r="F780" s="35" t="n">
        <v>400520.6837228135</v>
      </c>
      <c r="G780" s="36">
        <f>IF(F779&gt;0,F780/F779-1,"")</f>
        <v/>
      </c>
      <c r="H780" s="36">
        <f>IF(G780="","",G780-$D$12)</f>
        <v/>
      </c>
    </row>
    <row r="781">
      <c r="B781" s="34" t="inlineStr">
        <is>
          <t>2024-09-10</t>
        </is>
      </c>
      <c r="C781" s="35" t="n">
        <v>434427.844733945</v>
      </c>
      <c r="D781" s="36">
        <f>IF(C780&gt;0,C781/C780-1,"")</f>
        <v/>
      </c>
      <c r="E781" s="36">
        <f>IF(D781="","",D781-$C$12)</f>
        <v/>
      </c>
      <c r="F781" s="35" t="n">
        <v>400029.4832171658</v>
      </c>
      <c r="G781" s="36">
        <f>IF(F780&gt;0,F781/F780-1,"")</f>
        <v/>
      </c>
      <c r="H781" s="36">
        <f>IF(G781="","",G781-$D$12)</f>
        <v/>
      </c>
    </row>
    <row r="782">
      <c r="B782" s="34" t="inlineStr">
        <is>
          <t>2024-09-11</t>
        </is>
      </c>
      <c r="C782" s="35" t="n">
        <v>435399.349674073</v>
      </c>
      <c r="D782" s="36">
        <f>IF(C781&gt;0,C782/C781-1,"")</f>
        <v/>
      </c>
      <c r="E782" s="36">
        <f>IF(D782="","",D782-$C$12)</f>
        <v/>
      </c>
      <c r="F782" s="35" t="n">
        <v>400574.8922827133</v>
      </c>
      <c r="G782" s="36">
        <f>IF(F781&gt;0,F782/F781-1,"")</f>
        <v/>
      </c>
      <c r="H782" s="36">
        <f>IF(G782="","",G782-$D$12)</f>
        <v/>
      </c>
    </row>
    <row r="783">
      <c r="B783" s="34" t="inlineStr">
        <is>
          <t>2024-09-12</t>
        </is>
      </c>
      <c r="C783" s="35" t="n">
        <v>437198.5075523571</v>
      </c>
      <c r="D783" s="36">
        <f>IF(C782&gt;0,C783/C782-1,"")</f>
        <v/>
      </c>
      <c r="E783" s="36">
        <f>IF(D783="","",D783-$C$12)</f>
        <v/>
      </c>
      <c r="F783" s="35" t="n">
        <v>402076.4951586757</v>
      </c>
      <c r="G783" s="36">
        <f>IF(F782&gt;0,F783/F782-1,"")</f>
        <v/>
      </c>
      <c r="H783" s="36">
        <f>IF(G783="","",G783-$D$12)</f>
        <v/>
      </c>
    </row>
    <row r="784">
      <c r="B784" s="34" t="inlineStr">
        <is>
          <t>2024-09-13</t>
        </is>
      </c>
      <c r="C784" s="35" t="n">
        <v>438577.7182111043</v>
      </c>
      <c r="D784" s="36">
        <f>IF(C783&gt;0,C784/C783-1,"")</f>
        <v/>
      </c>
      <c r="E784" s="36">
        <f>IF(D784="","",D784-$C$12)</f>
        <v/>
      </c>
      <c r="F784" s="35" t="n">
        <v>403173.501676093</v>
      </c>
      <c r="G784" s="36">
        <f>IF(F783&gt;0,F784/F783-1,"")</f>
        <v/>
      </c>
      <c r="H784" s="36">
        <f>IF(G784="","",G784-$D$12)</f>
        <v/>
      </c>
    </row>
    <row r="785">
      <c r="B785" s="34" t="inlineStr">
        <is>
          <t>2024-09-16</t>
        </is>
      </c>
      <c r="C785" s="35" t="n">
        <v>438258.5744113389</v>
      </c>
      <c r="D785" s="36">
        <f>IF(C784&gt;0,C785/C784-1,"")</f>
        <v/>
      </c>
      <c r="E785" s="36">
        <f>IF(D785="","",D785-$C$12)</f>
        <v/>
      </c>
      <c r="F785" s="35" t="n">
        <v>402902.9938656302</v>
      </c>
      <c r="G785" s="36">
        <f>IF(F784&gt;0,F785/F784-1,"")</f>
        <v/>
      </c>
      <c r="H785" s="36">
        <f>IF(G785="","",G785-$D$12)</f>
        <v/>
      </c>
    </row>
    <row r="786">
      <c r="B786" s="34" t="inlineStr">
        <is>
          <t>2024-09-17</t>
        </is>
      </c>
      <c r="C786" s="35" t="n">
        <v>438630.3817256295</v>
      </c>
      <c r="D786" s="36">
        <f>IF(C785&gt;0,C786/C785-1,"")</f>
        <v/>
      </c>
      <c r="E786" s="36">
        <f>IF(D786="","",D786-$C$12)</f>
        <v/>
      </c>
      <c r="F786" s="35" t="n">
        <v>403549.8614964825</v>
      </c>
      <c r="G786" s="36">
        <f>IF(F785&gt;0,F786/F785-1,"")</f>
        <v/>
      </c>
      <c r="H786" s="36">
        <f>IF(G786="","",G786-$D$12)</f>
        <v/>
      </c>
    </row>
    <row r="787">
      <c r="B787" s="34" t="inlineStr">
        <is>
          <t>2024-09-18</t>
        </is>
      </c>
      <c r="C787" s="35" t="n">
        <v>437080.4108489992</v>
      </c>
      <c r="D787" s="36">
        <f>IF(C786&gt;0,C787/C786-1,"")</f>
        <v/>
      </c>
      <c r="E787" s="36">
        <f>IF(D787="","",D787-$C$12)</f>
        <v/>
      </c>
      <c r="F787" s="35" t="n">
        <v>402311.1486263214</v>
      </c>
      <c r="G787" s="36">
        <f>IF(F786&gt;0,F787/F786-1,"")</f>
        <v/>
      </c>
      <c r="H787" s="36">
        <f>IF(G787="","",G787-$D$12)</f>
        <v/>
      </c>
    </row>
    <row r="788">
      <c r="B788" s="34" t="inlineStr">
        <is>
          <t>2024-09-19</t>
        </is>
      </c>
      <c r="C788" s="35" t="n">
        <v>439006.3517731977</v>
      </c>
      <c r="D788" s="36">
        <f>IF(C787&gt;0,C788/C787-1,"")</f>
        <v/>
      </c>
      <c r="E788" s="36">
        <f>IF(D788="","",D788-$C$12)</f>
        <v/>
      </c>
      <c r="F788" s="35" t="n">
        <v>403991.5113494721</v>
      </c>
      <c r="G788" s="36">
        <f>IF(F787&gt;0,F788/F787-1,"")</f>
        <v/>
      </c>
      <c r="H788" s="36">
        <f>IF(G788="","",G788-$D$12)</f>
        <v/>
      </c>
    </row>
    <row r="789">
      <c r="B789" s="34" t="inlineStr">
        <is>
          <t>2024-09-20</t>
        </is>
      </c>
      <c r="C789" s="35" t="n">
        <v>437084.4875575413</v>
      </c>
      <c r="D789" s="36">
        <f>IF(C788&gt;0,C789/C788-1,"")</f>
        <v/>
      </c>
      <c r="E789" s="36">
        <f>IF(D789="","",D789-$C$12)</f>
        <v/>
      </c>
      <c r="F789" s="35" t="n">
        <v>402494.0033700307</v>
      </c>
      <c r="G789" s="36">
        <f>IF(F788&gt;0,F789/F788-1,"")</f>
        <v/>
      </c>
      <c r="H789" s="36">
        <f>IF(G789="","",G789-$D$12)</f>
        <v/>
      </c>
    </row>
    <row r="790">
      <c r="B790" s="34" t="inlineStr">
        <is>
          <t>2024-09-23</t>
        </is>
      </c>
      <c r="C790" s="35" t="n">
        <v>437265.73615862</v>
      </c>
      <c r="D790" s="36">
        <f>IF(C789&gt;0,C790/C789-1,"")</f>
        <v/>
      </c>
      <c r="E790" s="36">
        <f>IF(D790="","",D790-$C$12)</f>
        <v/>
      </c>
      <c r="F790" s="35" t="n">
        <v>402777.0036448406</v>
      </c>
      <c r="G790" s="36">
        <f>IF(F789&gt;0,F790/F789-1,"")</f>
        <v/>
      </c>
      <c r="H790" s="36">
        <f>IF(G790="","",G790-$D$12)</f>
        <v/>
      </c>
    </row>
    <row r="791">
      <c r="B791" s="34" t="inlineStr">
        <is>
          <t>2024-09-24</t>
        </is>
      </c>
      <c r="C791" s="35" t="n">
        <v>438372.2928286869</v>
      </c>
      <c r="D791" s="36">
        <f>IF(C790&gt;0,C791/C790-1,"")</f>
        <v/>
      </c>
      <c r="E791" s="36">
        <f>IF(D791="","",D791-$C$12)</f>
        <v/>
      </c>
      <c r="F791" s="35" t="n">
        <v>403636.6235592184</v>
      </c>
      <c r="G791" s="36">
        <f>IF(F790&gt;0,F791/F790-1,"")</f>
        <v/>
      </c>
      <c r="H791" s="36">
        <f>IF(G791="","",G791-$D$12)</f>
        <v/>
      </c>
    </row>
    <row r="792">
      <c r="B792" s="34" t="inlineStr">
        <is>
          <t>2024-09-25</t>
        </is>
      </c>
      <c r="C792" s="35" t="n">
        <v>440282.49167142</v>
      </c>
      <c r="D792" s="36">
        <f>IF(C791&gt;0,C792/C791-1,"")</f>
        <v/>
      </c>
      <c r="E792" s="36">
        <f>IF(D792="","",D792-$C$12)</f>
        <v/>
      </c>
      <c r="F792" s="35" t="n">
        <v>405198.6104134392</v>
      </c>
      <c r="G792" s="36">
        <f>IF(F791&gt;0,F792/F791-1,"")</f>
        <v/>
      </c>
      <c r="H792" s="36">
        <f>IF(G792="","",G792-$D$12)</f>
        <v/>
      </c>
    </row>
    <row r="793">
      <c r="B793" s="34" t="inlineStr">
        <is>
          <t>2024-09-26</t>
        </is>
      </c>
      <c r="C793" s="35" t="n">
        <v>439883.5533611135</v>
      </c>
      <c r="D793" s="36">
        <f>IF(C792&gt;0,C793/C792-1,"")</f>
        <v/>
      </c>
      <c r="E793" s="36">
        <f>IF(D793="","",D793-$C$12)</f>
        <v/>
      </c>
      <c r="F793" s="35" t="n">
        <v>405269.4585680247</v>
      </c>
      <c r="G793" s="36">
        <f>IF(F792&gt;0,F793/F792-1,"")</f>
        <v/>
      </c>
      <c r="H793" s="36">
        <f>IF(G793="","",G793-$D$12)</f>
        <v/>
      </c>
    </row>
    <row r="794">
      <c r="B794" s="34" t="inlineStr">
        <is>
          <t>2024-09-27</t>
        </is>
      </c>
      <c r="C794" s="35" t="n">
        <v>438932.7427346088</v>
      </c>
      <c r="D794" s="36">
        <f>IF(C793&gt;0,C794/C793-1,"")</f>
        <v/>
      </c>
      <c r="E794" s="36">
        <f>IF(D794="","",D794-$C$12)</f>
        <v/>
      </c>
      <c r="F794" s="35" t="n">
        <v>404564.7283115589</v>
      </c>
      <c r="G794" s="36">
        <f>IF(F793&gt;0,F794/F793-1,"")</f>
        <v/>
      </c>
      <c r="H794" s="36">
        <f>IF(G794="","",G794-$D$12)</f>
        <v/>
      </c>
    </row>
    <row r="795">
      <c r="B795" s="34" t="inlineStr">
        <is>
          <t>2024-09-30</t>
        </is>
      </c>
      <c r="C795" s="35" t="n">
        <v>437168.9315277721</v>
      </c>
      <c r="D795" s="36">
        <f>IF(C794&gt;0,C795/C794-1,"")</f>
        <v/>
      </c>
      <c r="E795" s="36">
        <f>IF(D795="","",D795-$C$12)</f>
        <v/>
      </c>
      <c r="F795" s="35" t="n">
        <v>402915.3299455873</v>
      </c>
      <c r="G795" s="36">
        <f>IF(F794&gt;0,F795/F794-1,"")</f>
        <v/>
      </c>
      <c r="H795" s="36">
        <f>IF(G795="","",G795-$D$12)</f>
        <v/>
      </c>
    </row>
    <row r="796">
      <c r="B796" s="34" t="inlineStr">
        <is>
          <t>2024-10-01</t>
        </is>
      </c>
      <c r="C796" s="35" t="n">
        <v>436304.5291817758</v>
      </c>
      <c r="D796" s="36">
        <f>IF(C795&gt;0,C796/C795-1,"")</f>
        <v/>
      </c>
      <c r="E796" s="36">
        <f>IF(D796="","",D796-$C$12)</f>
        <v/>
      </c>
      <c r="F796" s="35" t="n">
        <v>402179.0472139185</v>
      </c>
      <c r="G796" s="36">
        <f>IF(F795&gt;0,F796/F795-1,"")</f>
        <v/>
      </c>
      <c r="H796" s="36">
        <f>IF(G796="","",G796-$D$12)</f>
        <v/>
      </c>
    </row>
    <row r="797">
      <c r="B797" s="34" t="inlineStr">
        <is>
          <t>2024-10-02</t>
        </is>
      </c>
      <c r="C797" s="35" t="n">
        <v>435941.3800170559</v>
      </c>
      <c r="D797" s="36">
        <f>IF(C796&gt;0,C797/C796-1,"")</f>
        <v/>
      </c>
      <c r="E797" s="36">
        <f>IF(D797="","",D797-$C$12)</f>
        <v/>
      </c>
      <c r="F797" s="35" t="n">
        <v>401670.5431708913</v>
      </c>
      <c r="G797" s="36">
        <f>IF(F796&gt;0,F797/F796-1,"")</f>
        <v/>
      </c>
      <c r="H797" s="36">
        <f>IF(G797="","",G797-$D$12)</f>
        <v/>
      </c>
    </row>
    <row r="798">
      <c r="B798" s="34" t="inlineStr">
        <is>
          <t>2024-10-03</t>
        </is>
      </c>
      <c r="C798" s="35" t="n">
        <v>434878.7546398368</v>
      </c>
      <c r="D798" s="36">
        <f>IF(C797&gt;0,C798/C797-1,"")</f>
        <v/>
      </c>
      <c r="E798" s="36">
        <f>IF(D798="","",D798-$C$12)</f>
        <v/>
      </c>
      <c r="F798" s="35" t="n">
        <v>400732.0712334967</v>
      </c>
      <c r="G798" s="36">
        <f>IF(F797&gt;0,F798/F797-1,"")</f>
        <v/>
      </c>
      <c r="H798" s="36">
        <f>IF(G798="","",G798-$D$12)</f>
        <v/>
      </c>
    </row>
    <row r="799">
      <c r="B799" s="34" t="inlineStr">
        <is>
          <t>2024-10-04</t>
        </is>
      </c>
      <c r="C799" s="35" t="n">
        <v>436040.5803300421</v>
      </c>
      <c r="D799" s="36">
        <f>IF(C798&gt;0,C799/C798-1,"")</f>
        <v/>
      </c>
      <c r="E799" s="36">
        <f>IF(D799="","",D799-$C$12)</f>
        <v/>
      </c>
      <c r="F799" s="35" t="n">
        <v>401485.3150798703</v>
      </c>
      <c r="G799" s="36">
        <f>IF(F798&gt;0,F799/F798-1,"")</f>
        <v/>
      </c>
      <c r="H799" s="36">
        <f>IF(G799="","",G799-$D$12)</f>
        <v/>
      </c>
    </row>
    <row r="800">
      <c r="B800" s="34" t="inlineStr">
        <is>
          <t>2024-10-07</t>
        </is>
      </c>
      <c r="C800" s="35" t="n">
        <v>435577.1165556931</v>
      </c>
      <c r="D800" s="36">
        <f>IF(C799&gt;0,C800/C799-1,"")</f>
        <v/>
      </c>
      <c r="E800" s="36">
        <f>IF(D800="","",D800-$C$12)</f>
        <v/>
      </c>
      <c r="F800" s="35" t="n">
        <v>401061.7595841851</v>
      </c>
      <c r="G800" s="36">
        <f>IF(F799&gt;0,F800/F799-1,"")</f>
        <v/>
      </c>
      <c r="H800" s="36">
        <f>IF(G800="","",G800-$D$12)</f>
        <v/>
      </c>
    </row>
    <row r="801">
      <c r="B801" s="34" t="inlineStr">
        <is>
          <t>2024-10-08</t>
        </is>
      </c>
      <c r="C801" s="35" t="n">
        <v>436160.2036350735</v>
      </c>
      <c r="D801" s="36">
        <f>IF(C800&gt;0,C801/C800-1,"")</f>
        <v/>
      </c>
      <c r="E801" s="36">
        <f>IF(D801="","",D801-$C$12)</f>
        <v/>
      </c>
      <c r="F801" s="35" t="n">
        <v>401765.5022138217</v>
      </c>
      <c r="G801" s="36">
        <f>IF(F800&gt;0,F801/F800-1,"")</f>
        <v/>
      </c>
      <c r="H801" s="36">
        <f>IF(G801="","",G801-$D$12)</f>
        <v/>
      </c>
    </row>
    <row r="802">
      <c r="B802" s="34" t="inlineStr">
        <is>
          <t>2024-10-09</t>
        </is>
      </c>
      <c r="C802" s="35" t="n">
        <v>437667.716728047</v>
      </c>
      <c r="D802" s="36">
        <f>IF(C801&gt;0,C802/C801-1,"")</f>
        <v/>
      </c>
      <c r="E802" s="36">
        <f>IF(D802="","",D802-$C$12)</f>
        <v/>
      </c>
      <c r="F802" s="35" t="n">
        <v>403007.393494943</v>
      </c>
      <c r="G802" s="36">
        <f>IF(F801&gt;0,F802/F801-1,"")</f>
        <v/>
      </c>
      <c r="H802" s="36">
        <f>IF(G802="","",G802-$D$12)</f>
        <v/>
      </c>
    </row>
    <row r="803">
      <c r="B803" s="34" t="inlineStr">
        <is>
          <t>2024-10-10</t>
        </is>
      </c>
      <c r="C803" s="35" t="n">
        <v>438319.4761400755</v>
      </c>
      <c r="D803" s="36">
        <f>IF(C802&gt;0,C803/C802-1,"")</f>
        <v/>
      </c>
      <c r="E803" s="36">
        <f>IF(D803="","",D803-$C$12)</f>
        <v/>
      </c>
      <c r="F803" s="35" t="n">
        <v>402955.7163667243</v>
      </c>
      <c r="G803" s="36">
        <f>IF(F802&gt;0,F803/F802-1,"")</f>
        <v/>
      </c>
      <c r="H803" s="36">
        <f>IF(G803="","",G803-$D$12)</f>
        <v/>
      </c>
    </row>
    <row r="804">
      <c r="B804" s="34" t="inlineStr">
        <is>
          <t>2024-10-11</t>
        </is>
      </c>
      <c r="C804" s="35" t="n">
        <v>440364.5889363879</v>
      </c>
      <c r="D804" s="36">
        <f>IF(C803&gt;0,C804/C803-1,"")</f>
        <v/>
      </c>
      <c r="E804" s="36">
        <f>IF(D804="","",D804-$C$12)</f>
        <v/>
      </c>
      <c r="F804" s="35" t="n">
        <v>404811.5104046534</v>
      </c>
      <c r="G804" s="36">
        <f>IF(F803&gt;0,F804/F803-1,"")</f>
        <v/>
      </c>
      <c r="H804" s="36">
        <f>IF(G804="","",G804-$D$12)</f>
        <v/>
      </c>
    </row>
    <row r="805">
      <c r="B805" s="34" t="inlineStr">
        <is>
          <t>2024-10-14</t>
        </is>
      </c>
      <c r="C805" s="35" t="n">
        <v>442935.9102046596</v>
      </c>
      <c r="D805" s="36">
        <f>IF(C804&gt;0,C805/C804-1,"")</f>
        <v/>
      </c>
      <c r="E805" s="36">
        <f>IF(D805="","",D805-$C$12)</f>
        <v/>
      </c>
      <c r="F805" s="35" t="n">
        <v>406714.9889322246</v>
      </c>
      <c r="G805" s="36">
        <f>IF(F804&gt;0,F805/F804-1,"")</f>
        <v/>
      </c>
      <c r="H805" s="36">
        <f>IF(G805="","",G805-$D$12)</f>
        <v/>
      </c>
    </row>
    <row r="806">
      <c r="B806" s="34" t="inlineStr">
        <is>
          <t>2024-10-15</t>
        </is>
      </c>
      <c r="C806" s="35" t="n">
        <v>442241.210405144</v>
      </c>
      <c r="D806" s="36">
        <f>IF(C805&gt;0,C806/C805-1,"")</f>
        <v/>
      </c>
      <c r="E806" s="36">
        <f>IF(D806="","",D806-$C$12)</f>
        <v/>
      </c>
      <c r="F806" s="35" t="n">
        <v>406568.131490411</v>
      </c>
      <c r="G806" s="36">
        <f>IF(F805&gt;0,F806/F805-1,"")</f>
        <v/>
      </c>
      <c r="H806" s="36">
        <f>IF(G806="","",G806-$D$12)</f>
        <v/>
      </c>
    </row>
    <row r="807">
      <c r="B807" s="34" t="inlineStr">
        <is>
          <t>2024-10-16</t>
        </is>
      </c>
      <c r="C807" s="35" t="n">
        <v>442882.7315304197</v>
      </c>
      <c r="D807" s="36">
        <f>IF(C806&gt;0,C807/C806-1,"")</f>
        <v/>
      </c>
      <c r="E807" s="36">
        <f>IF(D807="","",D807-$C$12)</f>
        <v/>
      </c>
      <c r="F807" s="35" t="n">
        <v>406985.6014432672</v>
      </c>
      <c r="G807" s="36">
        <f>IF(F806&gt;0,F807/F806-1,"")</f>
        <v/>
      </c>
      <c r="H807" s="36">
        <f>IF(G807="","",G807-$D$12)</f>
        <v/>
      </c>
    </row>
    <row r="808">
      <c r="B808" s="34" t="inlineStr">
        <is>
          <t>2024-10-17</t>
        </is>
      </c>
      <c r="C808" s="35" t="n">
        <v>444653.8734217107</v>
      </c>
      <c r="D808" s="36">
        <f>IF(C807&gt;0,C808/C807-1,"")</f>
        <v/>
      </c>
      <c r="E808" s="36">
        <f>IF(D808="","",D808-$C$12)</f>
        <v/>
      </c>
      <c r="F808" s="35" t="n">
        <v>408390.7701348412</v>
      </c>
      <c r="G808" s="36">
        <f>IF(F807&gt;0,F808/F807-1,"")</f>
        <v/>
      </c>
      <c r="H808" s="36">
        <f>IF(G808="","",G808-$D$12)</f>
        <v/>
      </c>
    </row>
    <row r="809">
      <c r="B809" s="34" t="inlineStr">
        <is>
          <t>2024-10-18</t>
        </is>
      </c>
      <c r="C809" s="35" t="n">
        <v>445227.7162265663</v>
      </c>
      <c r="D809" s="36">
        <f>IF(C808&gt;0,C809/C808-1,"")</f>
        <v/>
      </c>
      <c r="E809" s="36">
        <f>IF(D809="","",D809-$C$12)</f>
        <v/>
      </c>
      <c r="F809" s="35" t="n">
        <v>409193.2363933409</v>
      </c>
      <c r="G809" s="36">
        <f>IF(F808&gt;0,F809/F808-1,"")</f>
        <v/>
      </c>
      <c r="H809" s="36">
        <f>IF(G809="","",G809-$D$12)</f>
        <v/>
      </c>
    </row>
    <row r="810">
      <c r="B810" s="34" t="inlineStr">
        <is>
          <t>2024-10-21</t>
        </is>
      </c>
      <c r="C810" s="35" t="n">
        <v>444060.5061164577</v>
      </c>
      <c r="D810" s="36">
        <f>IF(C809&gt;0,C810/C809-1,"")</f>
        <v/>
      </c>
      <c r="E810" s="36">
        <f>IF(D810="","",D810-$C$12)</f>
        <v/>
      </c>
      <c r="F810" s="35" t="n">
        <v>407949.94115674</v>
      </c>
      <c r="G810" s="36">
        <f>IF(F809&gt;0,F810/F809-1,"")</f>
        <v/>
      </c>
      <c r="H810" s="36">
        <f>IF(G810="","",G810-$D$12)</f>
        <v/>
      </c>
    </row>
    <row r="811">
      <c r="B811" s="34" t="inlineStr">
        <is>
          <t>2024-10-22</t>
        </is>
      </c>
      <c r="C811" s="35" t="n">
        <v>442577.6752070227</v>
      </c>
      <c r="D811" s="36">
        <f>IF(C810&gt;0,C811/C810-1,"")</f>
        <v/>
      </c>
      <c r="E811" s="36">
        <f>IF(D811="","",D811-$C$12)</f>
        <v/>
      </c>
      <c r="F811" s="35" t="n">
        <v>406790.6926937931</v>
      </c>
      <c r="G811" s="36">
        <f>IF(F810&gt;0,F811/F810-1,"")</f>
        <v/>
      </c>
      <c r="H811" s="36">
        <f>IF(G811="","",G811-$D$12)</f>
        <v/>
      </c>
    </row>
    <row r="812">
      <c r="B812" s="34" t="inlineStr">
        <is>
          <t>2024-10-23</t>
        </is>
      </c>
      <c r="C812" s="35" t="n">
        <v>441720.3508463599</v>
      </c>
      <c r="D812" s="36">
        <f>IF(C811&gt;0,C812/C811-1,"")</f>
        <v/>
      </c>
      <c r="E812" s="36">
        <f>IF(D812="","",D812-$C$12)</f>
        <v/>
      </c>
      <c r="F812" s="35" t="n">
        <v>406102.7795592607</v>
      </c>
      <c r="G812" s="36">
        <f>IF(F811&gt;0,F812/F811-1,"")</f>
        <v/>
      </c>
      <c r="H812" s="36">
        <f>IF(G812="","",G812-$D$12)</f>
        <v/>
      </c>
    </row>
    <row r="813">
      <c r="B813" s="34" t="inlineStr">
        <is>
          <t>2024-10-24</t>
        </is>
      </c>
      <c r="C813" s="35" t="n">
        <v>441919.0600494957</v>
      </c>
      <c r="D813" s="36">
        <f>IF(C812&gt;0,C813/C812-1,"")</f>
        <v/>
      </c>
      <c r="E813" s="36">
        <f>IF(D813="","",D813-$C$12)</f>
        <v/>
      </c>
      <c r="F813" s="35" t="n">
        <v>406350.6606509673</v>
      </c>
      <c r="G813" s="36">
        <f>IF(F812&gt;0,F813/F812-1,"")</f>
        <v/>
      </c>
      <c r="H813" s="36">
        <f>IF(G813="","",G813-$D$12)</f>
        <v/>
      </c>
    </row>
    <row r="814">
      <c r="B814" s="34" t="inlineStr">
        <is>
          <t>2024-10-25</t>
        </is>
      </c>
      <c r="C814" s="35" t="n">
        <v>441731.96531367</v>
      </c>
      <c r="D814" s="36">
        <f>IF(C813&gt;0,C814/C813-1,"")</f>
        <v/>
      </c>
      <c r="E814" s="36">
        <f>IF(D814="","",D814-$C$12)</f>
        <v/>
      </c>
      <c r="F814" s="35" t="n">
        <v>405908.6992803226</v>
      </c>
      <c r="G814" s="36">
        <f>IF(F813&gt;0,F814/F813-1,"")</f>
        <v/>
      </c>
      <c r="H814" s="36">
        <f>IF(G814="","",G814-$D$12)</f>
        <v/>
      </c>
    </row>
    <row r="815">
      <c r="B815" s="34" t="inlineStr">
        <is>
          <t>2024-10-28</t>
        </is>
      </c>
      <c r="C815" s="35" t="n">
        <v>442260.7027040593</v>
      </c>
      <c r="D815" s="36">
        <f>IF(C814&gt;0,C815/C814-1,"")</f>
        <v/>
      </c>
      <c r="E815" s="36">
        <f>IF(D815="","",D815-$C$12)</f>
        <v/>
      </c>
      <c r="F815" s="35" t="n">
        <v>406475.5829266966</v>
      </c>
      <c r="G815" s="36">
        <f>IF(F814&gt;0,F815/F814-1,"")</f>
        <v/>
      </c>
      <c r="H815" s="36">
        <f>IF(G815="","",G815-$D$12)</f>
        <v/>
      </c>
    </row>
    <row r="816">
      <c r="B816" s="34" t="inlineStr">
        <is>
          <t>2024-10-29</t>
        </is>
      </c>
      <c r="C816" s="35" t="n">
        <v>441286.2328142881</v>
      </c>
      <c r="D816" s="36">
        <f>IF(C815&gt;0,C816/C815-1,"")</f>
        <v/>
      </c>
      <c r="E816" s="36">
        <f>IF(D816="","",D816-$C$12)</f>
        <v/>
      </c>
      <c r="F816" s="35" t="n">
        <v>405596.3951510721</v>
      </c>
      <c r="G816" s="36">
        <f>IF(F815&gt;0,F816/F815-1,"")</f>
        <v/>
      </c>
      <c r="H816" s="36">
        <f>IF(G816="","",G816-$D$12)</f>
        <v/>
      </c>
    </row>
    <row r="817">
      <c r="B817" s="34" t="inlineStr">
        <is>
          <t>2024-10-30</t>
        </is>
      </c>
      <c r="C817" s="35" t="n">
        <v>440124.3718608759</v>
      </c>
      <c r="D817" s="36">
        <f>IF(C816&gt;0,C817/C816-1,"")</f>
        <v/>
      </c>
      <c r="E817" s="36">
        <f>IF(D817="","",D817-$C$12)</f>
        <v/>
      </c>
      <c r="F817" s="35" t="n">
        <v>404293.464808193</v>
      </c>
      <c r="G817" s="36">
        <f>IF(F816&gt;0,F817/F816-1,"")</f>
        <v/>
      </c>
      <c r="H817" s="36">
        <f>IF(G817="","",G817-$D$12)</f>
        <v/>
      </c>
    </row>
    <row r="818">
      <c r="B818" s="34" t="inlineStr">
        <is>
          <t>2024-10-31</t>
        </is>
      </c>
      <c r="C818" s="35" t="n">
        <v>436501.2304134924</v>
      </c>
      <c r="D818" s="36">
        <f>IF(C817&gt;0,C818/C817-1,"")</f>
        <v/>
      </c>
      <c r="E818" s="36">
        <f>IF(D818="","",D818-$C$12)</f>
        <v/>
      </c>
      <c r="F818" s="35" t="n">
        <v>401526.9598463001</v>
      </c>
      <c r="G818" s="36">
        <f>IF(F817&gt;0,F818/F817-1,"")</f>
        <v/>
      </c>
      <c r="H818" s="36">
        <f>IF(G818="","",G818-$D$12)</f>
        <v/>
      </c>
    </row>
    <row r="819">
      <c r="B819" s="34" t="inlineStr">
        <is>
          <t>2024-11-01</t>
        </is>
      </c>
      <c r="C819" s="35" t="n">
        <v>439119.8806535073</v>
      </c>
      <c r="D819" s="36">
        <f>IF(C818&gt;0,C819/C818-1,"")</f>
        <v/>
      </c>
      <c r="E819" s="36">
        <f>IF(D819="","",D819-$C$12)</f>
        <v/>
      </c>
      <c r="F819" s="35" t="n">
        <v>403587.6804765603</v>
      </c>
      <c r="G819" s="36">
        <f>IF(F818&gt;0,F819/F818-1,"")</f>
        <v/>
      </c>
      <c r="H819" s="36">
        <f>IF(G819="","",G819-$D$12)</f>
        <v/>
      </c>
    </row>
    <row r="820">
      <c r="B820" s="34" t="inlineStr">
        <is>
          <t>2024-11-04</t>
        </is>
      </c>
      <c r="C820" s="35" t="n">
        <v>437170.2562884772</v>
      </c>
      <c r="D820" s="36">
        <f>IF(C819&gt;0,C820/C819-1,"")</f>
        <v/>
      </c>
      <c r="E820" s="36">
        <f>IF(D820="","",D820-$C$12)</f>
        <v/>
      </c>
      <c r="F820" s="35" t="n">
        <v>402482.3092913539</v>
      </c>
      <c r="G820" s="36">
        <f>IF(F819&gt;0,F820/F819-1,"")</f>
        <v/>
      </c>
      <c r="H820" s="36">
        <f>IF(G820="","",G820-$D$12)</f>
        <v/>
      </c>
    </row>
    <row r="821">
      <c r="B821" s="34" t="inlineStr">
        <is>
          <t>2024-11-05</t>
        </is>
      </c>
      <c r="C821" s="35" t="n">
        <v>437649.6694320176</v>
      </c>
      <c r="D821" s="36">
        <f>IF(C820&gt;0,C821/C820-1,"")</f>
        <v/>
      </c>
      <c r="E821" s="36">
        <f>IF(D821="","",D821-$C$12)</f>
        <v/>
      </c>
      <c r="F821" s="35" t="n">
        <v>402692.9107655678</v>
      </c>
      <c r="G821" s="36">
        <f>IF(F820&gt;0,F821/F820-1,"")</f>
        <v/>
      </c>
      <c r="H821" s="36">
        <f>IF(G821="","",G821-$D$12)</f>
        <v/>
      </c>
    </row>
    <row r="822">
      <c r="B822" s="34" t="inlineStr">
        <is>
          <t>2024-11-06</t>
        </is>
      </c>
      <c r="C822" s="35" t="n">
        <v>438484.6878537869</v>
      </c>
      <c r="D822" s="36">
        <f>IF(C821&gt;0,C822/C821-1,"")</f>
        <v/>
      </c>
      <c r="E822" s="36">
        <f>IF(D822="","",D822-$C$12)</f>
        <v/>
      </c>
      <c r="F822" s="35" t="n">
        <v>403107.0683065643</v>
      </c>
      <c r="G822" s="36">
        <f>IF(F821&gt;0,F822/F821-1,"")</f>
        <v/>
      </c>
      <c r="H822" s="36">
        <f>IF(G822="","",G822-$D$12)</f>
        <v/>
      </c>
    </row>
    <row r="823">
      <c r="B823" s="34" t="inlineStr">
        <is>
          <t>2024-11-07</t>
        </is>
      </c>
      <c r="C823" s="35" t="n">
        <v>440623.8105360521</v>
      </c>
      <c r="D823" s="36">
        <f>IF(C822&gt;0,C823/C822-1,"")</f>
        <v/>
      </c>
      <c r="E823" s="36">
        <f>IF(D823="","",D823-$C$12)</f>
        <v/>
      </c>
      <c r="F823" s="35" t="n">
        <v>405393.6233720563</v>
      </c>
      <c r="G823" s="36">
        <f>IF(F822&gt;0,F823/F822-1,"")</f>
        <v/>
      </c>
      <c r="H823" s="36">
        <f>IF(G823="","",G823-$D$12)</f>
        <v/>
      </c>
    </row>
    <row r="824">
      <c r="B824" s="34" t="inlineStr">
        <is>
          <t>2024-11-08</t>
        </is>
      </c>
      <c r="C824" s="35" t="n">
        <v>440295.8047189336</v>
      </c>
      <c r="D824" s="36">
        <f>IF(C823&gt;0,C824/C823-1,"")</f>
        <v/>
      </c>
      <c r="E824" s="36">
        <f>IF(D824="","",D824-$C$12)</f>
        <v/>
      </c>
      <c r="F824" s="35" t="n">
        <v>405053.4655089633</v>
      </c>
      <c r="G824" s="36">
        <f>IF(F823&gt;0,F824/F823-1,"")</f>
        <v/>
      </c>
      <c r="H824" s="36">
        <f>IF(G824="","",G824-$D$12)</f>
        <v/>
      </c>
    </row>
    <row r="825">
      <c r="B825" s="34" t="inlineStr">
        <is>
          <t>2024-11-11</t>
        </is>
      </c>
      <c r="C825" s="35" t="n">
        <v>443343.2487266744</v>
      </c>
      <c r="D825" s="36">
        <f>IF(C824&gt;0,C825/C824-1,"")</f>
        <v/>
      </c>
      <c r="E825" s="36">
        <f>IF(D825="","",D825-$C$12)</f>
        <v/>
      </c>
      <c r="F825" s="35" t="n">
        <v>407370.7829510481</v>
      </c>
      <c r="G825" s="36">
        <f>IF(F824&gt;0,F825/F824-1,"")</f>
        <v/>
      </c>
      <c r="H825" s="36">
        <f>IF(G825="","",G825-$D$12)</f>
        <v/>
      </c>
    </row>
    <row r="826">
      <c r="B826" s="34" t="inlineStr">
        <is>
          <t>2024-11-12</t>
        </is>
      </c>
      <c r="C826" s="35" t="n">
        <v>439866.1501383279</v>
      </c>
      <c r="D826" s="36">
        <f>IF(C825&gt;0,C826/C825-1,"")</f>
        <v/>
      </c>
      <c r="E826" s="36">
        <f>IF(D826="","",D826-$C$12)</f>
        <v/>
      </c>
      <c r="F826" s="35" t="n">
        <v>404730.370979894</v>
      </c>
      <c r="G826" s="36">
        <f>IF(F825&gt;0,F826/F825-1,"")</f>
        <v/>
      </c>
      <c r="H826" s="36">
        <f>IF(G826="","",G826-$D$12)</f>
        <v/>
      </c>
    </row>
    <row r="827">
      <c r="B827" s="34" t="inlineStr">
        <is>
          <t>2024-11-13</t>
        </is>
      </c>
      <c r="C827" s="35" t="n">
        <v>440870.9167295848</v>
      </c>
      <c r="D827" s="36">
        <f>IF(C826&gt;0,C827/C826-1,"")</f>
        <v/>
      </c>
      <c r="E827" s="36">
        <f>IF(D827="","",D827-$C$12)</f>
        <v/>
      </c>
      <c r="F827" s="35" t="n">
        <v>405790.9206791465</v>
      </c>
      <c r="G827" s="36">
        <f>IF(F826&gt;0,F827/F826-1,"")</f>
        <v/>
      </c>
      <c r="H827" s="36">
        <f>IF(G827="","",G827-$D$12)</f>
        <v/>
      </c>
    </row>
    <row r="828">
      <c r="B828" s="34" t="inlineStr">
        <is>
          <t>2024-11-14</t>
        </is>
      </c>
      <c r="C828" s="35" t="n">
        <v>441719.7415310813</v>
      </c>
      <c r="D828" s="36">
        <f>IF(C827&gt;0,C828/C827-1,"")</f>
        <v/>
      </c>
      <c r="E828" s="36">
        <f>IF(D828="","",D828-$C$12)</f>
        <v/>
      </c>
      <c r="F828" s="35" t="n">
        <v>406661.9410928745</v>
      </c>
      <c r="G828" s="36">
        <f>IF(F827&gt;0,F828/F827-1,"")</f>
        <v/>
      </c>
      <c r="H828" s="36">
        <f>IF(G828="","",G828-$D$12)</f>
        <v/>
      </c>
    </row>
    <row r="829">
      <c r="B829" s="34" t="inlineStr">
        <is>
          <t>2024-11-15</t>
        </is>
      </c>
      <c r="C829" s="35" t="n">
        <v>439945.1394167303</v>
      </c>
      <c r="D829" s="36">
        <f>IF(C828&gt;0,C829/C828-1,"")</f>
        <v/>
      </c>
      <c r="E829" s="36">
        <f>IF(D829="","",D829-$C$12)</f>
        <v/>
      </c>
      <c r="F829" s="35" t="n">
        <v>405102.0092924924</v>
      </c>
      <c r="G829" s="36">
        <f>IF(F828&gt;0,F829/F828-1,"")</f>
        <v/>
      </c>
      <c r="H829" s="36">
        <f>IF(G829="","",G829-$D$12)</f>
        <v/>
      </c>
    </row>
    <row r="830">
      <c r="B830" s="34" t="inlineStr">
        <is>
          <t>2024-11-18</t>
        </is>
      </c>
      <c r="C830" s="35" t="n">
        <v>440133.9147518207</v>
      </c>
      <c r="D830" s="36">
        <f>IF(C829&gt;0,C830/C829-1,"")</f>
        <v/>
      </c>
      <c r="E830" s="36">
        <f>IF(D830="","",D830-$C$12)</f>
        <v/>
      </c>
      <c r="F830" s="35" t="n">
        <v>405375.6649981719</v>
      </c>
      <c r="G830" s="36">
        <f>IF(F829&gt;0,F830/F829-1,"")</f>
        <v/>
      </c>
      <c r="H830" s="36">
        <f>IF(G830="","",G830-$D$12)</f>
        <v/>
      </c>
    </row>
    <row r="831">
      <c r="B831" s="34" t="inlineStr">
        <is>
          <t>2024-11-19</t>
        </is>
      </c>
      <c r="C831" s="35" t="n">
        <v>439671.5074957295</v>
      </c>
      <c r="D831" s="36">
        <f>IF(C830&gt;0,C831/C830-1,"")</f>
        <v/>
      </c>
      <c r="E831" s="36">
        <f>IF(D831="","",D831-$C$12)</f>
        <v/>
      </c>
      <c r="F831" s="35" t="n">
        <v>404519.943187332</v>
      </c>
      <c r="G831" s="36">
        <f>IF(F830&gt;0,F831/F830-1,"")</f>
        <v/>
      </c>
      <c r="H831" s="36">
        <f>IF(G831="","",G831-$D$12)</f>
        <v/>
      </c>
    </row>
    <row r="832">
      <c r="B832" s="34" t="inlineStr">
        <is>
          <t>2024-11-20</t>
        </is>
      </c>
      <c r="C832" s="35" t="n">
        <v>440212.1052940355</v>
      </c>
      <c r="D832" s="36">
        <f>IF(C831&gt;0,C832/C831-1,"")</f>
        <v/>
      </c>
      <c r="E832" s="36">
        <f>IF(D832="","",D832-$C$12)</f>
        <v/>
      </c>
      <c r="F832" s="35" t="n">
        <v>405080.6736619025</v>
      </c>
      <c r="G832" s="36">
        <f>IF(F831&gt;0,F832/F831-1,"")</f>
        <v/>
      </c>
      <c r="H832" s="36">
        <f>IF(G832="","",G832-$D$12)</f>
        <v/>
      </c>
    </row>
    <row r="833">
      <c r="B833" s="34" t="inlineStr">
        <is>
          <t>2024-11-21</t>
        </is>
      </c>
      <c r="C833" s="35" t="n">
        <v>441404.7227330297</v>
      </c>
      <c r="D833" s="36">
        <f>IF(C832&gt;0,C833/C832-1,"")</f>
        <v/>
      </c>
      <c r="E833" s="36">
        <f>IF(D833="","",D833-$C$12)</f>
        <v/>
      </c>
      <c r="F833" s="35" t="n">
        <v>406368.3825758293</v>
      </c>
      <c r="G833" s="36">
        <f>IF(F832&gt;0,F833/F832-1,"")</f>
        <v/>
      </c>
      <c r="H833" s="36">
        <f>IF(G833="","",G833-$D$12)</f>
        <v/>
      </c>
    </row>
    <row r="834">
      <c r="B834" s="34" t="inlineStr">
        <is>
          <t>2024-11-22</t>
        </is>
      </c>
      <c r="C834" s="35" t="n">
        <v>444480.3827935798</v>
      </c>
      <c r="D834" s="36">
        <f>IF(C833&gt;0,C834/C833-1,"")</f>
        <v/>
      </c>
      <c r="E834" s="36">
        <f>IF(D834="","",D834-$C$12)</f>
        <v/>
      </c>
      <c r="F834" s="35" t="n">
        <v>408967.3740913623</v>
      </c>
      <c r="G834" s="36">
        <f>IF(F833&gt;0,F834/F833-1,"")</f>
        <v/>
      </c>
      <c r="H834" s="36">
        <f>IF(G834="","",G834-$D$12)</f>
        <v/>
      </c>
    </row>
    <row r="835">
      <c r="B835" s="34" t="inlineStr">
        <is>
          <t>2024-11-25</t>
        </is>
      </c>
      <c r="C835" s="35" t="n">
        <v>443440.6052801977</v>
      </c>
      <c r="D835" s="36">
        <f>IF(C834&gt;0,C835/C834-1,"")</f>
        <v/>
      </c>
      <c r="E835" s="36">
        <f>IF(D835="","",D835-$C$12)</f>
        <v/>
      </c>
      <c r="F835" s="35" t="n">
        <v>408260.7336582409</v>
      </c>
      <c r="G835" s="36">
        <f>IF(F834&gt;0,F835/F834-1,"")</f>
        <v/>
      </c>
      <c r="H835" s="36">
        <f>IF(G835="","",G835-$D$12)</f>
        <v/>
      </c>
    </row>
    <row r="836">
      <c r="B836" s="34" t="inlineStr">
        <is>
          <t>2024-11-26</t>
        </is>
      </c>
      <c r="C836" s="35" t="n">
        <v>442235.501176661</v>
      </c>
      <c r="D836" s="36">
        <f>IF(C835&gt;0,C836/C835-1,"")</f>
        <v/>
      </c>
      <c r="E836" s="36">
        <f>IF(D836="","",D836-$C$12)</f>
        <v/>
      </c>
      <c r="F836" s="35" t="n">
        <v>406966.07409435</v>
      </c>
      <c r="G836" s="36">
        <f>IF(F835&gt;0,F836/F835-1,"")</f>
        <v/>
      </c>
      <c r="H836" s="36">
        <f>IF(G836="","",G836-$D$12)</f>
        <v/>
      </c>
    </row>
    <row r="837">
      <c r="B837" s="34" t="inlineStr">
        <is>
          <t>2024-11-27</t>
        </is>
      </c>
      <c r="C837" s="35" t="n">
        <v>442448.3860448315</v>
      </c>
      <c r="D837" s="36">
        <f>IF(C836&gt;0,C837/C836-1,"")</f>
        <v/>
      </c>
      <c r="E837" s="36">
        <f>IF(D837="","",D837-$C$12)</f>
        <v/>
      </c>
      <c r="F837" s="35" t="n">
        <v>407449.7302529352</v>
      </c>
      <c r="G837" s="36">
        <f>IF(F836&gt;0,F837/F836-1,"")</f>
        <v/>
      </c>
      <c r="H837" s="36">
        <f>IF(G837="","",G837-$D$12)</f>
        <v/>
      </c>
    </row>
    <row r="838">
      <c r="B838" s="34" t="inlineStr">
        <is>
          <t>2024-11-28</t>
        </is>
      </c>
      <c r="C838" s="35" t="n">
        <v>443548.0385666204</v>
      </c>
      <c r="D838" s="36">
        <f>IF(C837&gt;0,C838/C837-1,"")</f>
        <v/>
      </c>
      <c r="E838" s="36">
        <f>IF(D838="","",D838-$C$12)</f>
        <v/>
      </c>
      <c r="F838" s="35" t="n">
        <v>408341.6495102337</v>
      </c>
      <c r="G838" s="36">
        <f>IF(F837&gt;0,F838/F837-1,"")</f>
        <v/>
      </c>
      <c r="H838" s="36">
        <f>IF(G838="","",G838-$D$12)</f>
        <v/>
      </c>
    </row>
    <row r="839">
      <c r="B839" s="34" t="inlineStr">
        <is>
          <t>2024-11-29</t>
        </is>
      </c>
      <c r="C839" s="35" t="n">
        <v>444559.775621146</v>
      </c>
      <c r="D839" s="36">
        <f>IF(C838&gt;0,C839/C838-1,"")</f>
        <v/>
      </c>
      <c r="E839" s="36">
        <f>IF(D839="","",D839-$C$12)</f>
        <v/>
      </c>
      <c r="F839" s="35" t="n">
        <v>409394.2845974015</v>
      </c>
      <c r="G839" s="36">
        <f>IF(F838&gt;0,F839/F838-1,"")</f>
        <v/>
      </c>
      <c r="H839" s="36">
        <f>IF(G839="","",G839-$D$12)</f>
        <v/>
      </c>
    </row>
    <row r="840">
      <c r="B840" s="34" t="inlineStr">
        <is>
          <t>2024-12-02</t>
        </is>
      </c>
      <c r="C840" s="35" t="n">
        <v>446310.6236700926</v>
      </c>
      <c r="D840" s="36">
        <f>IF(C839&gt;0,C840/C839-1,"")</f>
        <v/>
      </c>
      <c r="E840" s="36">
        <f>IF(D840="","",D840-$C$12)</f>
        <v/>
      </c>
      <c r="F840" s="35" t="n">
        <v>410563.9766370035</v>
      </c>
      <c r="G840" s="36">
        <f>IF(F839&gt;0,F840/F839-1,"")</f>
        <v/>
      </c>
      <c r="H840" s="36">
        <f>IF(G840="","",G840-$D$12)</f>
        <v/>
      </c>
    </row>
    <row r="841">
      <c r="B841" s="34" t="inlineStr">
        <is>
          <t>2024-12-03</t>
        </is>
      </c>
      <c r="C841" s="35" t="n">
        <v>446510.4947124369</v>
      </c>
      <c r="D841" s="36">
        <f>IF(C840&gt;0,C841/C840-1,"")</f>
        <v/>
      </c>
      <c r="E841" s="36">
        <f>IF(D841="","",D841-$C$12)</f>
        <v/>
      </c>
      <c r="F841" s="35" t="n">
        <v>410606.8623323344</v>
      </c>
      <c r="G841" s="36">
        <f>IF(F840&gt;0,F841/F840-1,"")</f>
        <v/>
      </c>
      <c r="H841" s="36">
        <f>IF(G841="","",G841-$D$12)</f>
        <v/>
      </c>
    </row>
    <row r="842">
      <c r="B842" s="34" t="inlineStr">
        <is>
          <t>2024-12-04</t>
        </is>
      </c>
      <c r="C842" s="35" t="n">
        <v>446141.0157263218</v>
      </c>
      <c r="D842" s="36">
        <f>IF(C841&gt;0,C842/C841-1,"")</f>
        <v/>
      </c>
      <c r="E842" s="36">
        <f>IF(D842="","",D842-$C$12)</f>
        <v/>
      </c>
      <c r="F842" s="35" t="n">
        <v>410170.5731099655</v>
      </c>
      <c r="G842" s="36">
        <f>IF(F841&gt;0,F842/F841-1,"")</f>
        <v/>
      </c>
      <c r="H842" s="36">
        <f>IF(G842="","",G842-$D$12)</f>
        <v/>
      </c>
    </row>
    <row r="843">
      <c r="B843" s="34" t="inlineStr">
        <is>
          <t>2024-12-05</t>
        </is>
      </c>
      <c r="C843" s="35" t="n">
        <v>447326.93136006</v>
      </c>
      <c r="D843" s="36">
        <f>IF(C842&gt;0,C843/C842-1,"")</f>
        <v/>
      </c>
      <c r="E843" s="36">
        <f>IF(D843="","",D843-$C$12)</f>
        <v/>
      </c>
      <c r="F843" s="35" t="n">
        <v>411336.3059295961</v>
      </c>
      <c r="G843" s="36">
        <f>IF(F842&gt;0,F843/F842-1,"")</f>
        <v/>
      </c>
      <c r="H843" s="36">
        <f>IF(G843="","",G843-$D$12)</f>
        <v/>
      </c>
    </row>
    <row r="844">
      <c r="B844" s="34" t="inlineStr">
        <is>
          <t>2024-12-06</t>
        </is>
      </c>
      <c r="C844" s="35" t="n">
        <v>446381.2946969272</v>
      </c>
      <c r="D844" s="36">
        <f>IF(C843&gt;0,C844/C843-1,"")</f>
        <v/>
      </c>
      <c r="E844" s="36">
        <f>IF(D844="","",D844-$C$12)</f>
        <v/>
      </c>
      <c r="F844" s="35" t="n">
        <v>410331.1450013564</v>
      </c>
      <c r="G844" s="36">
        <f>IF(F843&gt;0,F844/F843-1,"")</f>
        <v/>
      </c>
      <c r="H844" s="36">
        <f>IF(G844="","",G844-$D$12)</f>
        <v/>
      </c>
    </row>
    <row r="845">
      <c r="B845" s="34" t="inlineStr">
        <is>
          <t>2024-12-09</t>
        </is>
      </c>
      <c r="C845" s="35" t="n">
        <v>445042.6460215385</v>
      </c>
      <c r="D845" s="36">
        <f>IF(C844&gt;0,C845/C844-1,"")</f>
        <v/>
      </c>
      <c r="E845" s="36">
        <f>IF(D845="","",D845-$C$12)</f>
        <v/>
      </c>
      <c r="F845" s="35" t="n">
        <v>409483.8641345233</v>
      </c>
      <c r="G845" s="36">
        <f>IF(F844&gt;0,F845/F844-1,"")</f>
        <v/>
      </c>
      <c r="H845" s="36">
        <f>IF(G845="","",G845-$D$12)</f>
        <v/>
      </c>
    </row>
    <row r="846">
      <c r="B846" s="34" t="inlineStr">
        <is>
          <t>2024-12-10</t>
        </is>
      </c>
      <c r="C846" s="35" t="n">
        <v>443102.9543356589</v>
      </c>
      <c r="D846" s="36">
        <f>IF(C845&gt;0,C846/C845-1,"")</f>
        <v/>
      </c>
      <c r="E846" s="36">
        <f>IF(D846="","",D846-$C$12)</f>
        <v/>
      </c>
      <c r="F846" s="35" t="n">
        <v>407902.3211264065</v>
      </c>
      <c r="G846" s="36">
        <f>IF(F845&gt;0,F846/F845-1,"")</f>
        <v/>
      </c>
      <c r="H846" s="36">
        <f>IF(G846="","",G846-$D$12)</f>
        <v/>
      </c>
    </row>
    <row r="847">
      <c r="B847" s="34" t="inlineStr">
        <is>
          <t>2024-12-11</t>
        </is>
      </c>
      <c r="C847" s="35" t="n">
        <v>444848.0164785017</v>
      </c>
      <c r="D847" s="36">
        <f>IF(C846&gt;0,C847/C846-1,"")</f>
        <v/>
      </c>
      <c r="E847" s="36">
        <f>IF(D847="","",D847-$C$12)</f>
        <v/>
      </c>
      <c r="F847" s="35" t="n">
        <v>409096.1722594289</v>
      </c>
      <c r="G847" s="36">
        <f>IF(F846&gt;0,F847/F846-1,"")</f>
        <v/>
      </c>
      <c r="H847" s="36">
        <f>IF(G847="","",G847-$D$12)</f>
        <v/>
      </c>
    </row>
    <row r="848">
      <c r="B848" s="34" t="inlineStr">
        <is>
          <t>2024-12-12</t>
        </is>
      </c>
      <c r="C848" s="35" t="n">
        <v>444320.8961332929</v>
      </c>
      <c r="D848" s="36">
        <f>IF(C847&gt;0,C848/C847-1,"")</f>
        <v/>
      </c>
      <c r="E848" s="36">
        <f>IF(D848="","",D848-$C$12)</f>
        <v/>
      </c>
      <c r="F848" s="35" t="n">
        <v>408473.7091279982</v>
      </c>
      <c r="G848" s="36">
        <f>IF(F847&gt;0,F848/F847-1,"")</f>
        <v/>
      </c>
      <c r="H848" s="36">
        <f>IF(G848="","",G848-$D$12)</f>
        <v/>
      </c>
    </row>
    <row r="849">
      <c r="B849" s="34" t="inlineStr">
        <is>
          <t>2024-12-13</t>
        </is>
      </c>
      <c r="C849" s="35" t="n">
        <v>445088.8926318628</v>
      </c>
      <c r="D849" s="36">
        <f>IF(C848&gt;0,C849/C848-1,"")</f>
        <v/>
      </c>
      <c r="E849" s="36">
        <f>IF(D849="","",D849-$C$12)</f>
        <v/>
      </c>
      <c r="F849" s="35" t="n">
        <v>409024.7105324533</v>
      </c>
      <c r="G849" s="36">
        <f>IF(F848&gt;0,F849/F848-1,"")</f>
        <v/>
      </c>
      <c r="H849" s="36">
        <f>IF(G849="","",G849-$D$12)</f>
        <v/>
      </c>
    </row>
    <row r="850">
      <c r="B850" s="34" t="inlineStr">
        <is>
          <t>2024-12-16</t>
        </is>
      </c>
      <c r="C850" s="35" t="n">
        <v>445663.8823944121</v>
      </c>
      <c r="D850" s="36">
        <f>IF(C849&gt;0,C850/C849-1,"")</f>
        <v/>
      </c>
      <c r="E850" s="36">
        <f>IF(D850="","",D850-$C$12)</f>
        <v/>
      </c>
      <c r="F850" s="35" t="n">
        <v>409506.4298368502</v>
      </c>
      <c r="G850" s="36">
        <f>IF(F849&gt;0,F850/F849-1,"")</f>
        <v/>
      </c>
      <c r="H850" s="36">
        <f>IF(G850="","",G850-$D$12)</f>
        <v/>
      </c>
    </row>
    <row r="851">
      <c r="B851" s="34" t="inlineStr">
        <is>
          <t>2024-12-17</t>
        </is>
      </c>
      <c r="C851" s="35" t="n">
        <v>445282.3125021336</v>
      </c>
      <c r="D851" s="36">
        <f>IF(C850&gt;0,C851/C850-1,"")</f>
        <v/>
      </c>
      <c r="E851" s="36">
        <f>IF(D851="","",D851-$C$12)</f>
        <v/>
      </c>
      <c r="F851" s="35" t="n">
        <v>409150.8681501899</v>
      </c>
      <c r="G851" s="36">
        <f>IF(F850&gt;0,F851/F850-1,"")</f>
        <v/>
      </c>
      <c r="H851" s="36">
        <f>IF(G851="","",G851-$D$12)</f>
        <v/>
      </c>
    </row>
    <row r="852">
      <c r="B852" s="34" t="inlineStr">
        <is>
          <t>2024-12-18</t>
        </is>
      </c>
      <c r="C852" s="35" t="n">
        <v>443103.3655223866</v>
      </c>
      <c r="D852" s="36">
        <f>IF(C851&gt;0,C852/C851-1,"")</f>
        <v/>
      </c>
      <c r="E852" s="36">
        <f>IF(D852="","",D852-$C$12)</f>
        <v/>
      </c>
      <c r="F852" s="35" t="n">
        <v>407239.8079380293</v>
      </c>
      <c r="G852" s="36">
        <f>IF(F851&gt;0,F852/F851-1,"")</f>
        <v/>
      </c>
      <c r="H852" s="36">
        <f>IF(G852="","",G852-$D$12)</f>
        <v/>
      </c>
    </row>
    <row r="853">
      <c r="B853" s="34" t="inlineStr">
        <is>
          <t>2024-12-19</t>
        </is>
      </c>
      <c r="C853" s="35" t="n">
        <v>439484.0104170402</v>
      </c>
      <c r="D853" s="36">
        <f>IF(C852&gt;0,C853/C852-1,"")</f>
        <v/>
      </c>
      <c r="E853" s="36">
        <f>IF(D853="","",D853-$C$12)</f>
        <v/>
      </c>
      <c r="F853" s="35" t="n">
        <v>403928.5293684215</v>
      </c>
      <c r="G853" s="36">
        <f>IF(F852&gt;0,F853/F852-1,"")</f>
        <v/>
      </c>
      <c r="H853" s="36">
        <f>IF(G853="","",G853-$D$12)</f>
        <v/>
      </c>
    </row>
    <row r="854">
      <c r="B854" s="34" t="inlineStr">
        <is>
          <t>2024-12-20</t>
        </is>
      </c>
      <c r="C854" s="35" t="n">
        <v>435982.2149294809</v>
      </c>
      <c r="D854" s="36">
        <f>IF(C853&gt;0,C854/C853-1,"")</f>
        <v/>
      </c>
      <c r="E854" s="36">
        <f>IF(D854="","",D854-$C$12)</f>
        <v/>
      </c>
      <c r="F854" s="35" t="n">
        <v>402027.1722232135</v>
      </c>
      <c r="G854" s="36">
        <f>IF(F853&gt;0,F854/F853-1,"")</f>
        <v/>
      </c>
      <c r="H854" s="36">
        <f>IF(G854="","",G854-$D$12)</f>
        <v/>
      </c>
    </row>
    <row r="855">
      <c r="B855" s="34" t="inlineStr">
        <is>
          <t>2024-12-23</t>
        </is>
      </c>
      <c r="C855" s="35" t="n">
        <v>438551.7331784595</v>
      </c>
      <c r="D855" s="36">
        <f>IF(C854&gt;0,C855/C854-1,"")</f>
        <v/>
      </c>
      <c r="E855" s="36">
        <f>IF(D855="","",D855-$C$12)</f>
        <v/>
      </c>
      <c r="F855" s="35" t="n">
        <v>403926.6763269907</v>
      </c>
      <c r="G855" s="36">
        <f>IF(F854&gt;0,F855/F854-1,"")</f>
        <v/>
      </c>
      <c r="H855" s="36">
        <f>IF(G855="","",G855-$D$12)</f>
        <v/>
      </c>
    </row>
    <row r="856">
      <c r="B856" s="34" t="inlineStr">
        <is>
          <t>2024-12-24</t>
        </is>
      </c>
      <c r="C856" s="35" t="n">
        <v>438945.309082386</v>
      </c>
      <c r="D856" s="36">
        <f>IF(C855&gt;0,C856/C855-1,"")</f>
        <v/>
      </c>
      <c r="E856" s="36">
        <f>IF(D856="","",D856-$C$12)</f>
        <v/>
      </c>
      <c r="F856" s="35" t="n">
        <v>404288.8437933209</v>
      </c>
      <c r="G856" s="36">
        <f>IF(F855&gt;0,F856/F855-1,"")</f>
        <v/>
      </c>
      <c r="H856" s="36">
        <f>IF(G856="","",G856-$D$12)</f>
        <v/>
      </c>
    </row>
    <row r="857">
      <c r="B857" s="34" t="inlineStr">
        <is>
          <t>2024-12-26</t>
        </is>
      </c>
      <c r="C857" s="35" t="n">
        <v>438763.2821277685</v>
      </c>
      <c r="D857" s="36">
        <f>IF(C856&gt;0,C857/C856-1,"")</f>
        <v/>
      </c>
      <c r="E857" s="36">
        <f>IF(D857="","",D857-$C$12)</f>
        <v/>
      </c>
      <c r="F857" s="35" t="n">
        <v>404201.522844324</v>
      </c>
      <c r="G857" s="36">
        <f>IF(F856&gt;0,F857/F856-1,"")</f>
        <v/>
      </c>
      <c r="H857" s="36">
        <f>IF(G857="","",G857-$D$12)</f>
        <v/>
      </c>
    </row>
    <row r="858">
      <c r="B858" s="34" t="inlineStr">
        <is>
          <t>2024-12-27</t>
        </is>
      </c>
      <c r="C858" s="35" t="n">
        <v>440104.8653771452</v>
      </c>
      <c r="D858" s="36">
        <f>IF(C857&gt;0,C858/C857-1,"")</f>
        <v/>
      </c>
      <c r="E858" s="36">
        <f>IF(D858="","",D858-$C$12)</f>
        <v/>
      </c>
      <c r="F858" s="35" t="n">
        <v>405572.698780649</v>
      </c>
      <c r="G858" s="36">
        <f>IF(F857&gt;0,F858/F857-1,"")</f>
        <v/>
      </c>
      <c r="H858" s="36">
        <f>IF(G858="","",G858-$D$12)</f>
        <v/>
      </c>
    </row>
    <row r="859">
      <c r="B859" s="34" t="inlineStr">
        <is>
          <t>2024-12-30</t>
        </is>
      </c>
      <c r="C859" s="35" t="n">
        <v>439882.3334378685</v>
      </c>
      <c r="D859" s="36">
        <f>IF(C858&gt;0,C859/C858-1,"")</f>
        <v/>
      </c>
      <c r="E859" s="36">
        <f>IF(D859="","",D859-$C$12)</f>
        <v/>
      </c>
      <c r="F859" s="35" t="n">
        <v>405231.8943228844</v>
      </c>
      <c r="G859" s="36">
        <f>IF(F858&gt;0,F859/F858-1,"")</f>
        <v/>
      </c>
      <c r="H859" s="36">
        <f>IF(G859="","",G859-$D$12)</f>
        <v/>
      </c>
    </row>
    <row r="860">
      <c r="B860" s="34" t="inlineStr">
        <is>
          <t>2024-12-31</t>
        </is>
      </c>
      <c r="C860" s="35" t="n">
        <v>439899.7971371562</v>
      </c>
      <c r="D860" s="36">
        <f>IF(C859&gt;0,C860/C859-1,"")</f>
        <v/>
      </c>
      <c r="E860" s="36">
        <f>IF(D860="","",D860-$C$12)</f>
        <v/>
      </c>
      <c r="F860" s="35" t="n">
        <v>405486.6849941103</v>
      </c>
      <c r="G860" s="36">
        <f>IF(F859&gt;0,F860/F859-1,"")</f>
        <v/>
      </c>
      <c r="H860" s="36">
        <f>IF(G860="","",G860-$D$12)</f>
        <v/>
      </c>
    </row>
    <row r="861">
      <c r="B861" s="34" t="inlineStr">
        <is>
          <t>2025-01-02</t>
        </is>
      </c>
      <c r="C861" s="35" t="n">
        <v>440766.4819740549</v>
      </c>
      <c r="D861" s="36">
        <f>IF(C860&gt;0,C861/C860-1,"")</f>
        <v/>
      </c>
      <c r="E861" s="36">
        <f>IF(D861="","",D861-$C$12)</f>
        <v/>
      </c>
      <c r="F861" s="35" t="n">
        <v>406181.0581717451</v>
      </c>
      <c r="G861" s="36">
        <f>IF(F860&gt;0,F861/F860-1,"")</f>
        <v/>
      </c>
      <c r="H861" s="36">
        <f>IF(G861="","",G861-$D$12)</f>
        <v/>
      </c>
    </row>
    <row r="862">
      <c r="B862" s="34" t="inlineStr">
        <is>
          <t>2025-01-03</t>
        </is>
      </c>
      <c r="C862" s="35" t="n">
        <v>444189.5222350844</v>
      </c>
      <c r="D862" s="36">
        <f>IF(C861&gt;0,C862/C861-1,"")</f>
        <v/>
      </c>
      <c r="E862" s="36">
        <f>IF(D862="","",D862-$C$12)</f>
        <v/>
      </c>
      <c r="F862" s="35" t="n">
        <v>408927.6683394646</v>
      </c>
      <c r="G862" s="36">
        <f>IF(F861&gt;0,F862/F861-1,"")</f>
        <v/>
      </c>
      <c r="H862" s="36">
        <f>IF(G862="","",G862-$D$12)</f>
        <v/>
      </c>
    </row>
    <row r="863">
      <c r="B863" s="34" t="inlineStr">
        <is>
          <t>2025-01-06</t>
        </is>
      </c>
      <c r="C863" s="35" t="n">
        <v>444531.4141389601</v>
      </c>
      <c r="D863" s="36">
        <f>IF(C862&gt;0,C863/C862-1,"")</f>
        <v/>
      </c>
      <c r="E863" s="36">
        <f>IF(D863="","",D863-$C$12)</f>
        <v/>
      </c>
      <c r="F863" s="35" t="n">
        <v>409343.7676379525</v>
      </c>
      <c r="G863" s="36">
        <f>IF(F862&gt;0,F863/F862-1,"")</f>
        <v/>
      </c>
      <c r="H863" s="36">
        <f>IF(G863="","",G863-$D$12)</f>
        <v/>
      </c>
    </row>
    <row r="864">
      <c r="B864" s="34" t="inlineStr">
        <is>
          <t>2025-01-07</t>
        </is>
      </c>
      <c r="C864" s="35" t="n">
        <v>445564.8863604727</v>
      </c>
      <c r="D864" s="36">
        <f>IF(C863&gt;0,C864/C863-1,"")</f>
        <v/>
      </c>
      <c r="E864" s="36">
        <f>IF(D864="","",D864-$C$12)</f>
        <v/>
      </c>
      <c r="F864" s="35" t="n">
        <v>410752.0640207803</v>
      </c>
      <c r="G864" s="36">
        <f>IF(F863&gt;0,F864/F863-1,"")</f>
        <v/>
      </c>
      <c r="H864" s="36">
        <f>IF(G864="","",G864-$D$12)</f>
        <v/>
      </c>
    </row>
    <row r="865">
      <c r="B865" s="34" t="inlineStr">
        <is>
          <t>2025-01-08</t>
        </is>
      </c>
      <c r="C865" s="35" t="n">
        <v>446277.1125696428</v>
      </c>
      <c r="D865" s="36">
        <f>IF(C864&gt;0,C865/C864-1,"")</f>
        <v/>
      </c>
      <c r="E865" s="36">
        <f>IF(D865="","",D865-$C$12)</f>
        <v/>
      </c>
      <c r="F865" s="35" t="n">
        <v>411047.1624990421</v>
      </c>
      <c r="G865" s="36">
        <f>IF(F864&gt;0,F865/F864-1,"")</f>
        <v/>
      </c>
      <c r="H865" s="36">
        <f>IF(G865="","",G865-$D$12)</f>
        <v/>
      </c>
    </row>
    <row r="866">
      <c r="B866" s="34" t="inlineStr">
        <is>
          <t>2025-01-09</t>
        </is>
      </c>
      <c r="C866" s="35" t="n">
        <v>446592.7641442448</v>
      </c>
      <c r="D866" s="36">
        <f>IF(C865&gt;0,C866/C865-1,"")</f>
        <v/>
      </c>
      <c r="E866" s="36">
        <f>IF(D866="","",D866-$C$12)</f>
        <v/>
      </c>
      <c r="F866" s="35" t="n">
        <v>411338.1014783215</v>
      </c>
      <c r="G866" s="36">
        <f>IF(F865&gt;0,F866/F865-1,"")</f>
        <v/>
      </c>
      <c r="H866" s="36">
        <f>IF(G866="","",G866-$D$12)</f>
        <v/>
      </c>
    </row>
    <row r="867">
      <c r="B867" s="34" t="inlineStr">
        <is>
          <t>2025-01-10</t>
        </is>
      </c>
      <c r="C867" s="35" t="n">
        <v>444257.0019786578</v>
      </c>
      <c r="D867" s="36">
        <f>IF(C866&gt;0,C867/C866-1,"")</f>
        <v/>
      </c>
      <c r="E867" s="36">
        <f>IF(D867="","",D867-$C$12)</f>
        <v/>
      </c>
      <c r="F867" s="35" t="n">
        <v>409185.2085999409</v>
      </c>
      <c r="G867" s="36">
        <f>IF(F866&gt;0,F867/F866-1,"")</f>
        <v/>
      </c>
      <c r="H867" s="36">
        <f>IF(G867="","",G867-$D$12)</f>
        <v/>
      </c>
    </row>
    <row r="868">
      <c r="B868" s="34" t="inlineStr">
        <is>
          <t>2025-01-13</t>
        </is>
      </c>
      <c r="C868" s="35" t="n">
        <v>442331.1742824605</v>
      </c>
      <c r="D868" s="36">
        <f>IF(C867&gt;0,C868/C867-1,"")</f>
        <v/>
      </c>
      <c r="E868" s="36">
        <f>IF(D868="","",D868-$C$12)</f>
        <v/>
      </c>
      <c r="F868" s="35" t="n">
        <v>407510.4308745291</v>
      </c>
      <c r="G868" s="36">
        <f>IF(F867&gt;0,F868/F867-1,"")</f>
        <v/>
      </c>
      <c r="H868" s="36">
        <f>IF(G868="","",G868-$D$12)</f>
        <v/>
      </c>
    </row>
    <row r="869">
      <c r="B869" s="34" t="inlineStr">
        <is>
          <t>2025-01-14</t>
        </is>
      </c>
      <c r="C869" s="35" t="n">
        <v>443258.1615700843</v>
      </c>
      <c r="D869" s="36">
        <f>IF(C868&gt;0,C869/C868-1,"")</f>
        <v/>
      </c>
      <c r="E869" s="36">
        <f>IF(D869="","",D869-$C$12)</f>
        <v/>
      </c>
      <c r="F869" s="35" t="n">
        <v>408464.8708270852</v>
      </c>
      <c r="G869" s="36">
        <f>IF(F868&gt;0,F869/F868-1,"")</f>
        <v/>
      </c>
      <c r="H869" s="36">
        <f>IF(G869="","",G869-$D$12)</f>
        <v/>
      </c>
    </row>
    <row r="870">
      <c r="B870" s="34" t="inlineStr">
        <is>
          <t>2025-01-15</t>
        </is>
      </c>
      <c r="C870" s="35" t="n">
        <v>445719.5679252751</v>
      </c>
      <c r="D870" s="36">
        <f>IF(C869&gt;0,C870/C869-1,"")</f>
        <v/>
      </c>
      <c r="E870" s="36">
        <f>IF(D870="","",D870-$C$12)</f>
        <v/>
      </c>
      <c r="F870" s="35" t="n">
        <v>410317.1683435608</v>
      </c>
      <c r="G870" s="36">
        <f>IF(F869&gt;0,F870/F869-1,"")</f>
        <v/>
      </c>
      <c r="H870" s="36">
        <f>IF(G870="","",G870-$D$12)</f>
        <v/>
      </c>
    </row>
    <row r="871">
      <c r="B871" s="34" t="inlineStr">
        <is>
          <t>2025-01-16</t>
        </is>
      </c>
      <c r="C871" s="35" t="n">
        <v>446305.6114399584</v>
      </c>
      <c r="D871" s="36">
        <f>IF(C870&gt;0,C871/C870-1,"")</f>
        <v/>
      </c>
      <c r="E871" s="36">
        <f>IF(D871="","",D871-$C$12)</f>
        <v/>
      </c>
      <c r="F871" s="35" t="n">
        <v>411131.4139231037</v>
      </c>
      <c r="G871" s="36">
        <f>IF(F870&gt;0,F871/F870-1,"")</f>
        <v/>
      </c>
      <c r="H871" s="36">
        <f>IF(G871="","",G871-$D$12)</f>
        <v/>
      </c>
    </row>
    <row r="872">
      <c r="B872" s="34" t="inlineStr">
        <is>
          <t>2025-01-17</t>
        </is>
      </c>
      <c r="C872" s="35" t="n">
        <v>447606.842939275</v>
      </c>
      <c r="D872" s="36">
        <f>IF(C871&gt;0,C872/C871-1,"")</f>
        <v/>
      </c>
      <c r="E872" s="36">
        <f>IF(D872="","",D872-$C$12)</f>
        <v/>
      </c>
      <c r="F872" s="35" t="n">
        <v>412359.3672825148</v>
      </c>
      <c r="G872" s="36">
        <f>IF(F871&gt;0,F872/F871-1,"")</f>
        <v/>
      </c>
      <c r="H872" s="36">
        <f>IF(G872="","",G872-$D$12)</f>
        <v/>
      </c>
    </row>
    <row r="873">
      <c r="B873" s="34" t="inlineStr">
        <is>
          <t>2025-01-20</t>
        </is>
      </c>
      <c r="C873" s="35" t="n">
        <v>446544.4269173475</v>
      </c>
      <c r="D873" s="36">
        <f>IF(C872&gt;0,C873/C872-1,"")</f>
        <v/>
      </c>
      <c r="E873" s="36">
        <f>IF(D873="","",D873-$C$12)</f>
        <v/>
      </c>
      <c r="F873" s="35" t="n">
        <v>412191.9878210216</v>
      </c>
      <c r="G873" s="36">
        <f>IF(F872&gt;0,F873/F872-1,"")</f>
        <v/>
      </c>
      <c r="H873" s="36">
        <f>IF(G873="","",G873-$D$12)</f>
        <v/>
      </c>
    </row>
    <row r="874">
      <c r="B874" s="34" t="inlineStr">
        <is>
          <t>2025-01-21</t>
        </is>
      </c>
      <c r="C874" s="35" t="n">
        <v>447735.705086158</v>
      </c>
      <c r="D874" s="36">
        <f>IF(C873&gt;0,C874/C873-1,"")</f>
        <v/>
      </c>
      <c r="E874" s="36">
        <f>IF(D874="","",D874-$C$12)</f>
        <v/>
      </c>
      <c r="F874" s="35" t="n">
        <v>412958.9124074072</v>
      </c>
      <c r="G874" s="36">
        <f>IF(F873&gt;0,F874/F873-1,"")</f>
        <v/>
      </c>
      <c r="H874" s="36">
        <f>IF(G874="","",G874-$D$12)</f>
        <v/>
      </c>
    </row>
    <row r="875">
      <c r="B875" s="34" t="inlineStr">
        <is>
          <t>2025-01-22</t>
        </is>
      </c>
      <c r="C875" s="35" t="n">
        <v>449298.0039785248</v>
      </c>
      <c r="D875" s="36">
        <f>IF(C874&gt;0,C875/C874-1,"")</f>
        <v/>
      </c>
      <c r="E875" s="36">
        <f>IF(D875="","",D875-$C$12)</f>
        <v/>
      </c>
      <c r="F875" s="35" t="n">
        <v>414203.8710488888</v>
      </c>
      <c r="G875" s="36">
        <f>IF(F874&gt;0,F875/F874-1,"")</f>
        <v/>
      </c>
      <c r="H875" s="36">
        <f>IF(G875="","",G875-$D$12)</f>
        <v/>
      </c>
    </row>
    <row r="876">
      <c r="B876" s="34" t="inlineStr">
        <is>
          <t>2025-01-23</t>
        </is>
      </c>
      <c r="C876" s="35" t="n">
        <v>450526.5374086682</v>
      </c>
      <c r="D876" s="36">
        <f>IF(C875&gt;0,C876/C875-1,"")</f>
        <v/>
      </c>
      <c r="E876" s="36">
        <f>IF(D876="","",D876-$C$12)</f>
        <v/>
      </c>
      <c r="F876" s="35" t="n">
        <v>415135.2144017083</v>
      </c>
      <c r="G876" s="36">
        <f>IF(F875&gt;0,F876/F875-1,"")</f>
        <v/>
      </c>
      <c r="H876" s="36">
        <f>IF(G876="","",G876-$D$12)</f>
        <v/>
      </c>
    </row>
    <row r="877">
      <c r="B877" s="34" t="inlineStr">
        <is>
          <t>2025-01-24</t>
        </is>
      </c>
      <c r="C877" s="35" t="n">
        <v>450800.7913220556</v>
      </c>
      <c r="D877" s="36">
        <f>IF(C876&gt;0,C877/C876-1,"")</f>
        <v/>
      </c>
      <c r="E877" s="36">
        <f>IF(D877="","",D877-$C$12)</f>
        <v/>
      </c>
      <c r="F877" s="35" t="n">
        <v>415375.4222621331</v>
      </c>
      <c r="G877" s="36">
        <f>IF(F876&gt;0,F877/F876-1,"")</f>
        <v/>
      </c>
      <c r="H877" s="36">
        <f>IF(G877="","",G877-$D$12)</f>
        <v/>
      </c>
    </row>
    <row r="878">
      <c r="B878" s="34" t="inlineStr">
        <is>
          <t>2025-01-27</t>
        </is>
      </c>
      <c r="C878" s="35" t="n">
        <v>451489.7816882331</v>
      </c>
      <c r="D878" s="36">
        <f>IF(C877&gt;0,C878/C877-1,"")</f>
        <v/>
      </c>
      <c r="E878" s="36">
        <f>IF(D878="","",D878-$C$12)</f>
        <v/>
      </c>
      <c r="F878" s="35" t="n">
        <v>415828.7219859525</v>
      </c>
      <c r="G878" s="36">
        <f>IF(F877&gt;0,F878/F877-1,"")</f>
        <v/>
      </c>
      <c r="H878" s="36">
        <f>IF(G878="","",G878-$D$12)</f>
        <v/>
      </c>
    </row>
    <row r="879">
      <c r="B879" s="34" t="inlineStr">
        <is>
          <t>2025-01-28</t>
        </is>
      </c>
      <c r="C879" s="35" t="n">
        <v>453020.980089266</v>
      </c>
      <c r="D879" s="36">
        <f>IF(C878&gt;0,C879/C878-1,"")</f>
        <v/>
      </c>
      <c r="E879" s="36">
        <f>IF(D879="","",D879-$C$12)</f>
        <v/>
      </c>
      <c r="F879" s="35" t="n">
        <v>416909.5795145934</v>
      </c>
      <c r="G879" s="36">
        <f>IF(F878&gt;0,F879/F878-1,"")</f>
        <v/>
      </c>
      <c r="H879" s="36">
        <f>IF(G879="","",G879-$D$12)</f>
        <v/>
      </c>
    </row>
    <row r="880">
      <c r="B880" s="34" t="inlineStr">
        <is>
          <t>2025-01-29</t>
        </is>
      </c>
      <c r="C880" s="35" t="n">
        <v>453741.6118210581</v>
      </c>
      <c r="D880" s="36">
        <f>IF(C879&gt;0,C880/C879-1,"")</f>
        <v/>
      </c>
      <c r="E880" s="36">
        <f>IF(D880="","",D880-$C$12)</f>
        <v/>
      </c>
      <c r="F880" s="35" t="n">
        <v>417724.8305353682</v>
      </c>
      <c r="G880" s="36">
        <f>IF(F879&gt;0,F880/F879-1,"")</f>
        <v/>
      </c>
      <c r="H880" s="36">
        <f>IF(G880="","",G880-$D$12)</f>
        <v/>
      </c>
    </row>
    <row r="881">
      <c r="B881" s="34" t="inlineStr">
        <is>
          <t>2025-01-30</t>
        </is>
      </c>
      <c r="C881" s="35" t="n">
        <v>455266.4693868812</v>
      </c>
      <c r="D881" s="36">
        <f>IF(C880&gt;0,C881/C880-1,"")</f>
        <v/>
      </c>
      <c r="E881" s="36">
        <f>IF(D881="","",D881-$C$12)</f>
        <v/>
      </c>
      <c r="F881" s="35" t="n">
        <v>419273.538962198</v>
      </c>
      <c r="G881" s="36">
        <f>IF(F880&gt;0,F881/F880-1,"")</f>
        <v/>
      </c>
      <c r="H881" s="36">
        <f>IF(G881="","",G881-$D$12)</f>
        <v/>
      </c>
    </row>
    <row r="882">
      <c r="B882" s="34" t="inlineStr">
        <is>
          <t>2025-01-31</t>
        </is>
      </c>
      <c r="C882" s="35" t="n">
        <v>455073.0606644546</v>
      </c>
      <c r="D882" s="36">
        <f>IF(C881&gt;0,C882/C881-1,"")</f>
        <v/>
      </c>
      <c r="E882" s="36">
        <f>IF(D882="","",D882-$C$12)</f>
        <v/>
      </c>
      <c r="F882" s="35" t="n">
        <v>418413.307360983</v>
      </c>
      <c r="G882" s="36">
        <f>IF(F881&gt;0,F882/F881-1,"")</f>
        <v/>
      </c>
      <c r="H882" s="36">
        <f>IF(G882="","",G882-$D$12)</f>
        <v/>
      </c>
    </row>
    <row r="883">
      <c r="B883" s="34" t="inlineStr">
        <is>
          <t>2025-02-03</t>
        </is>
      </c>
      <c r="C883" s="35" t="n">
        <v>453066.790646899</v>
      </c>
      <c r="D883" s="36">
        <f>IF(C882&gt;0,C883/C882-1,"")</f>
        <v/>
      </c>
      <c r="E883" s="36">
        <f>IF(D883="","",D883-$C$12)</f>
        <v/>
      </c>
      <c r="F883" s="35" t="n">
        <v>416245.8825388168</v>
      </c>
      <c r="G883" s="36">
        <f>IF(F882&gt;0,F883/F882-1,"")</f>
        <v/>
      </c>
      <c r="H883" s="36">
        <f>IF(G883="","",G883-$D$12)</f>
        <v/>
      </c>
    </row>
    <row r="884">
      <c r="B884" s="34" t="inlineStr">
        <is>
          <t>2025-02-04</t>
        </is>
      </c>
      <c r="C884" s="35" t="n">
        <v>454453.5713315124</v>
      </c>
      <c r="D884" s="36">
        <f>IF(C883&gt;0,C884/C883-1,"")</f>
        <v/>
      </c>
      <c r="E884" s="36">
        <f>IF(D884="","",D884-$C$12)</f>
        <v/>
      </c>
      <c r="F884" s="35" t="n">
        <v>417248.043957287</v>
      </c>
      <c r="G884" s="36">
        <f>IF(F883&gt;0,F884/F883-1,"")</f>
        <v/>
      </c>
      <c r="H884" s="36">
        <f>IF(G884="","",G884-$D$12)</f>
        <v/>
      </c>
    </row>
    <row r="885">
      <c r="B885" s="34" t="inlineStr">
        <is>
          <t>2025-02-05</t>
        </is>
      </c>
      <c r="C885" s="35" t="n">
        <v>456300.4109788353</v>
      </c>
      <c r="D885" s="36">
        <f>IF(C884&gt;0,C885/C884-1,"")</f>
        <v/>
      </c>
      <c r="E885" s="36">
        <f>IF(D885="","",D885-$C$12)</f>
        <v/>
      </c>
      <c r="F885" s="35" t="n">
        <v>419036.3174211875</v>
      </c>
      <c r="G885" s="36">
        <f>IF(F884&gt;0,F885/F884-1,"")</f>
        <v/>
      </c>
      <c r="H885" s="36">
        <f>IF(G885="","",G885-$D$12)</f>
        <v/>
      </c>
    </row>
    <row r="886">
      <c r="B886" s="34" t="inlineStr">
        <is>
          <t>2025-02-06</t>
        </is>
      </c>
      <c r="C886" s="35" t="n">
        <v>457981.4379858324</v>
      </c>
      <c r="D886" s="36">
        <f>IF(C885&gt;0,C886/C885-1,"")</f>
        <v/>
      </c>
      <c r="E886" s="36">
        <f>IF(D886="","",D886-$C$12)</f>
        <v/>
      </c>
      <c r="F886" s="35" t="n">
        <v>419857.411181688</v>
      </c>
      <c r="G886" s="36">
        <f>IF(F885&gt;0,F886/F885-1,"")</f>
        <v/>
      </c>
      <c r="H886" s="36">
        <f>IF(G886="","",G886-$D$12)</f>
        <v/>
      </c>
    </row>
    <row r="887">
      <c r="B887" s="34" t="inlineStr">
        <is>
          <t>2025-02-07</t>
        </is>
      </c>
      <c r="C887" s="35" t="n">
        <v>458584.4047331576</v>
      </c>
      <c r="D887" s="36">
        <f>IF(C886&gt;0,C887/C886-1,"")</f>
        <v/>
      </c>
      <c r="E887" s="36">
        <f>IF(D887="","",D887-$C$12)</f>
        <v/>
      </c>
      <c r="F887" s="35" t="n">
        <v>420554.2799741598</v>
      </c>
      <c r="G887" s="36">
        <f>IF(F886&gt;0,F887/F886-1,"")</f>
        <v/>
      </c>
      <c r="H887" s="36">
        <f>IF(G887="","",G887-$D$12)</f>
        <v/>
      </c>
    </row>
    <row r="888">
      <c r="B888" s="34" t="inlineStr">
        <is>
          <t>2025-02-10</t>
        </is>
      </c>
      <c r="C888" s="35" t="n">
        <v>460322.8259560202</v>
      </c>
      <c r="D888" s="36">
        <f>IF(C887&gt;0,C888/C887-1,"")</f>
        <v/>
      </c>
      <c r="E888" s="36">
        <f>IF(D888="","",D888-$C$12)</f>
        <v/>
      </c>
      <c r="F888" s="35" t="n">
        <v>422249.9581943498</v>
      </c>
      <c r="G888" s="36">
        <f>IF(F887&gt;0,F888/F887-1,"")</f>
        <v/>
      </c>
      <c r="H888" s="36">
        <f>IF(G888="","",G888-$D$12)</f>
        <v/>
      </c>
    </row>
    <row r="889">
      <c r="B889" s="34" t="inlineStr">
        <is>
          <t>2025-02-11</t>
        </is>
      </c>
      <c r="C889" s="35" t="n">
        <v>461136.6644060243</v>
      </c>
      <c r="D889" s="36">
        <f>IF(C888&gt;0,C889/C888-1,"")</f>
        <v/>
      </c>
      <c r="E889" s="36">
        <f>IF(D889="","",D889-$C$12)</f>
        <v/>
      </c>
      <c r="F889" s="35" t="n">
        <v>423309.4099197132</v>
      </c>
      <c r="G889" s="36">
        <f>IF(F888&gt;0,F889/F888-1,"")</f>
        <v/>
      </c>
      <c r="H889" s="36">
        <f>IF(G889="","",G889-$D$12)</f>
        <v/>
      </c>
    </row>
    <row r="890">
      <c r="B890" s="34" t="inlineStr">
        <is>
          <t>2025-02-12</t>
        </is>
      </c>
      <c r="C890" s="35" t="n">
        <v>461570.1782368728</v>
      </c>
      <c r="D890" s="36">
        <f>IF(C889&gt;0,C890/C889-1,"")</f>
        <v/>
      </c>
      <c r="E890" s="36">
        <f>IF(D890="","",D890-$C$12)</f>
        <v/>
      </c>
      <c r="F890" s="35" t="n">
        <v>423619.7347187969</v>
      </c>
      <c r="G890" s="36">
        <f>IF(F889&gt;0,F890/F889-1,"")</f>
        <v/>
      </c>
      <c r="H890" s="36">
        <f>IF(G890="","",G890-$D$12)</f>
        <v/>
      </c>
    </row>
    <row r="891">
      <c r="B891" s="34" t="inlineStr">
        <is>
          <t>2025-02-13</t>
        </is>
      </c>
      <c r="C891" s="35" t="n">
        <v>462832.6061884699</v>
      </c>
      <c r="D891" s="36">
        <f>IF(C890&gt;0,C891/C890-1,"")</f>
        <v/>
      </c>
      <c r="E891" s="36">
        <f>IF(D891="","",D891-$C$12)</f>
        <v/>
      </c>
      <c r="F891" s="35" t="n">
        <v>425147.3337881953</v>
      </c>
      <c r="G891" s="36">
        <f>IF(F890&gt;0,F891/F890-1,"")</f>
        <v/>
      </c>
      <c r="H891" s="36">
        <f>IF(G891="","",G891-$D$12)</f>
        <v/>
      </c>
    </row>
    <row r="892">
      <c r="B892" s="34" t="inlineStr">
        <is>
          <t>2025-02-14</t>
        </is>
      </c>
      <c r="C892" s="35" t="n">
        <v>460568.7620134932</v>
      </c>
      <c r="D892" s="36">
        <f>IF(C891&gt;0,C892/C891-1,"")</f>
        <v/>
      </c>
      <c r="E892" s="36">
        <f>IF(D892="","",D892-$C$12)</f>
        <v/>
      </c>
      <c r="F892" s="35" t="n">
        <v>423360.6782050867</v>
      </c>
      <c r="G892" s="36">
        <f>IF(F891&gt;0,F892/F891-1,"")</f>
        <v/>
      </c>
      <c r="H892" s="36">
        <f>IF(G892="","",G892-$D$12)</f>
        <v/>
      </c>
    </row>
    <row r="893">
      <c r="B893" s="34" t="inlineStr">
        <is>
          <t>2025-02-17</t>
        </is>
      </c>
      <c r="C893" s="35" t="n">
        <v>461210.0709051444</v>
      </c>
      <c r="D893" s="36">
        <f>IF(C892&gt;0,C893/C892-1,"")</f>
        <v/>
      </c>
      <c r="E893" s="36">
        <f>IF(D893="","",D893-$C$12)</f>
        <v/>
      </c>
      <c r="F893" s="35" t="n">
        <v>423925.2832086479</v>
      </c>
      <c r="G893" s="36">
        <f>IF(F892&gt;0,F893/F892-1,"")</f>
        <v/>
      </c>
      <c r="H893" s="36">
        <f>IF(G893="","",G893-$D$12)</f>
        <v/>
      </c>
    </row>
    <row r="894">
      <c r="B894" s="34" t="inlineStr">
        <is>
          <t>2025-02-18</t>
        </is>
      </c>
      <c r="C894" s="35" t="n">
        <v>462882.2456417757</v>
      </c>
      <c r="D894" s="36">
        <f>IF(C893&gt;0,C894/C893-1,"")</f>
        <v/>
      </c>
      <c r="E894" s="36">
        <f>IF(D894="","",D894-$C$12)</f>
        <v/>
      </c>
      <c r="F894" s="35" t="n">
        <v>425113.6889682975</v>
      </c>
      <c r="G894" s="36">
        <f>IF(F893&gt;0,F894/F893-1,"")</f>
        <v/>
      </c>
      <c r="H894" s="36">
        <f>IF(G894="","",G894-$D$12)</f>
        <v/>
      </c>
    </row>
    <row r="895">
      <c r="B895" s="34" t="inlineStr">
        <is>
          <t>2025-02-19</t>
        </is>
      </c>
      <c r="C895" s="35" t="n">
        <v>460386.4001236134</v>
      </c>
      <c r="D895" s="36">
        <f>IF(C894&gt;0,C895/C894-1,"")</f>
        <v/>
      </c>
      <c r="E895" s="36">
        <f>IF(D895="","",D895-$C$12)</f>
        <v/>
      </c>
      <c r="F895" s="35" t="n">
        <v>423470.8582226406</v>
      </c>
      <c r="G895" s="36">
        <f>IF(F894&gt;0,F895/F894-1,"")</f>
        <v/>
      </c>
      <c r="H895" s="36">
        <f>IF(G895="","",G895-$D$12)</f>
        <v/>
      </c>
    </row>
    <row r="896">
      <c r="B896" s="34" t="inlineStr">
        <is>
          <t>2025-02-20</t>
        </is>
      </c>
      <c r="C896" s="35" t="n">
        <v>460913.7194102653</v>
      </c>
      <c r="D896" s="36">
        <f>IF(C895&gt;0,C896/C895-1,"")</f>
        <v/>
      </c>
      <c r="E896" s="36">
        <f>IF(D896="","",D896-$C$12)</f>
        <v/>
      </c>
      <c r="F896" s="35" t="n">
        <v>424064.6919732184</v>
      </c>
      <c r="G896" s="36">
        <f>IF(F895&gt;0,F896/F895-1,"")</f>
        <v/>
      </c>
      <c r="H896" s="36">
        <f>IF(G896="","",G896-$D$12)</f>
        <v/>
      </c>
    </row>
    <row r="897">
      <c r="B897" s="34" t="inlineStr">
        <is>
          <t>2025-02-21</t>
        </is>
      </c>
      <c r="C897" s="35" t="n">
        <v>462470.0204361645</v>
      </c>
      <c r="D897" s="36">
        <f>IF(C896&gt;0,C897/C896-1,"")</f>
        <v/>
      </c>
      <c r="E897" s="36">
        <f>IF(D897="","",D897-$C$12)</f>
        <v/>
      </c>
      <c r="F897" s="35" t="n">
        <v>425334.7467201768</v>
      </c>
      <c r="G897" s="36">
        <f>IF(F896&gt;0,F897/F896-1,"")</f>
        <v/>
      </c>
      <c r="H897" s="36">
        <f>IF(G897="","",G897-$D$12)</f>
        <v/>
      </c>
    </row>
    <row r="898">
      <c r="B898" s="34" t="inlineStr">
        <is>
          <t>2025-02-24</t>
        </is>
      </c>
      <c r="C898" s="35" t="n">
        <v>462539.4426921575</v>
      </c>
      <c r="D898" s="36">
        <f>IF(C897&gt;0,C898/C897-1,"")</f>
        <v/>
      </c>
      <c r="E898" s="36">
        <f>IF(D898="","",D898-$C$12)</f>
        <v/>
      </c>
      <c r="F898" s="35" t="n">
        <v>425077.5193118439</v>
      </c>
      <c r="G898" s="36">
        <f>IF(F897&gt;0,F898/F897-1,"")</f>
        <v/>
      </c>
      <c r="H898" s="36">
        <f>IF(G898="","",G898-$D$12)</f>
        <v/>
      </c>
    </row>
    <row r="899">
      <c r="B899" s="34" t="inlineStr">
        <is>
          <t>2025-02-25</t>
        </is>
      </c>
      <c r="C899" s="35" t="n">
        <v>462809.1197790043</v>
      </c>
      <c r="D899" s="36">
        <f>IF(C898&gt;0,C899/C898-1,"")</f>
        <v/>
      </c>
      <c r="E899" s="36">
        <f>IF(D899="","",D899-$C$12)</f>
        <v/>
      </c>
      <c r="F899" s="35" t="n">
        <v>424840.3418803234</v>
      </c>
      <c r="G899" s="36">
        <f>IF(F898&gt;0,F899/F898-1,"")</f>
        <v/>
      </c>
      <c r="H899" s="36">
        <f>IF(G899="","",G899-$D$12)</f>
        <v/>
      </c>
    </row>
    <row r="900">
      <c r="B900" s="34" t="inlineStr">
        <is>
          <t>2025-02-26</t>
        </is>
      </c>
      <c r="C900" s="35" t="n">
        <v>463311.8754576669</v>
      </c>
      <c r="D900" s="36">
        <f>IF(C899&gt;0,C900/C899-1,"")</f>
        <v/>
      </c>
      <c r="E900" s="36">
        <f>IF(D900="","",D900-$C$12)</f>
        <v/>
      </c>
      <c r="F900" s="35" t="n">
        <v>425296.3307299412</v>
      </c>
      <c r="G900" s="36">
        <f>IF(F899&gt;0,F900/F899-1,"")</f>
        <v/>
      </c>
      <c r="H900" s="36">
        <f>IF(G900="","",G900-$D$12)</f>
        <v/>
      </c>
    </row>
    <row r="901">
      <c r="B901" s="34" t="inlineStr">
        <is>
          <t>2025-02-27</t>
        </is>
      </c>
      <c r="C901" s="35" t="n">
        <v>461760.37182991</v>
      </c>
      <c r="D901" s="36">
        <f>IF(C900&gt;0,C901/C900-1,"")</f>
        <v/>
      </c>
      <c r="E901" s="36">
        <f>IF(D901="","",D901-$C$12)</f>
        <v/>
      </c>
      <c r="F901" s="35" t="n">
        <v>423574.3648531119</v>
      </c>
      <c r="G901" s="36">
        <f>IF(F900&gt;0,F901/F900-1,"")</f>
        <v/>
      </c>
      <c r="H901" s="36">
        <f>IF(G901="","",G901-$D$12)</f>
        <v/>
      </c>
    </row>
    <row r="902">
      <c r="B902" s="34" t="inlineStr">
        <is>
          <t>2025-02-28</t>
        </is>
      </c>
      <c r="C902" s="35" t="n">
        <v>462395.0433370984</v>
      </c>
      <c r="D902" s="36">
        <f>IF(C901&gt;0,C902/C901-1,"")</f>
        <v/>
      </c>
      <c r="E902" s="36">
        <f>IF(D902="","",D902-$C$12)</f>
        <v/>
      </c>
      <c r="F902" s="35" t="n">
        <v>424001.9880098126</v>
      </c>
      <c r="G902" s="36">
        <f>IF(F901&gt;0,F902/F901-1,"")</f>
        <v/>
      </c>
      <c r="H902" s="36">
        <f>IF(G902="","",G902-$D$12)</f>
        <v/>
      </c>
    </row>
    <row r="903">
      <c r="B903" s="34" t="inlineStr">
        <is>
          <t>2025-03-03</t>
        </is>
      </c>
      <c r="C903" s="35" t="n">
        <v>464996.0547364506</v>
      </c>
      <c r="D903" s="36">
        <f>IF(C902&gt;0,C903/C902-1,"")</f>
        <v/>
      </c>
      <c r="E903" s="36">
        <f>IF(D903="","",D903-$C$12)</f>
        <v/>
      </c>
      <c r="F903" s="35" t="n">
        <v>426800.6152578021</v>
      </c>
      <c r="G903" s="36">
        <f>IF(F902&gt;0,F903/F902-1,"")</f>
        <v/>
      </c>
      <c r="H903" s="36">
        <f>IF(G903="","",G903-$D$12)</f>
        <v/>
      </c>
    </row>
    <row r="904">
      <c r="B904" s="34" t="inlineStr">
        <is>
          <t>2025-03-04</t>
        </is>
      </c>
      <c r="C904" s="35" t="n">
        <v>461721.1354391288</v>
      </c>
      <c r="D904" s="36">
        <f>IF(C903&gt;0,C904/C903-1,"")</f>
        <v/>
      </c>
      <c r="E904" s="36">
        <f>IF(D904="","",D904-$C$12)</f>
        <v/>
      </c>
      <c r="F904" s="35" t="n">
        <v>423523.6190202113</v>
      </c>
      <c r="G904" s="36">
        <f>IF(F903&gt;0,F904/F903-1,"")</f>
        <v/>
      </c>
      <c r="H904" s="36">
        <f>IF(G904="","",G904-$D$12)</f>
        <v/>
      </c>
    </row>
    <row r="905">
      <c r="B905" s="34" t="inlineStr">
        <is>
          <t>2025-03-05</t>
        </is>
      </c>
      <c r="C905" s="35" t="n">
        <v>464436.4978309982</v>
      </c>
      <c r="D905" s="36">
        <f>IF(C904&gt;0,C905/C904-1,"")</f>
        <v/>
      </c>
      <c r="E905" s="36">
        <f>IF(D905="","",D905-$C$12)</f>
        <v/>
      </c>
      <c r="F905" s="35" t="n">
        <v>426037.8500878016</v>
      </c>
      <c r="G905" s="36">
        <f>IF(F904&gt;0,F905/F904-1,"")</f>
        <v/>
      </c>
      <c r="H905" s="36">
        <f>IF(G905="","",G905-$D$12)</f>
        <v/>
      </c>
    </row>
    <row r="906">
      <c r="B906" s="34" t="inlineStr">
        <is>
          <t>2025-03-06</t>
        </is>
      </c>
      <c r="C906" s="35" t="n">
        <v>463018.6334211223</v>
      </c>
      <c r="D906" s="36">
        <f>IF(C905&gt;0,C906/C905-1,"")</f>
        <v/>
      </c>
      <c r="E906" s="36">
        <f>IF(D906="","",D906-$C$12)</f>
        <v/>
      </c>
      <c r="F906" s="35" t="n">
        <v>425214.8353083139</v>
      </c>
      <c r="G906" s="36">
        <f>IF(F905&gt;0,F906/F905-1,"")</f>
        <v/>
      </c>
      <c r="H906" s="36">
        <f>IF(G906="","",G906-$D$12)</f>
        <v/>
      </c>
    </row>
    <row r="907">
      <c r="B907" s="34" t="inlineStr">
        <is>
          <t>2025-03-07</t>
        </is>
      </c>
      <c r="C907" s="35" t="n">
        <v>464392.6194255062</v>
      </c>
      <c r="D907" s="36">
        <f>IF(C906&gt;0,C907/C906-1,"")</f>
        <v/>
      </c>
      <c r="E907" s="36">
        <f>IF(D907="","",D907-$C$12)</f>
        <v/>
      </c>
      <c r="F907" s="35" t="n">
        <v>426316.6699465892</v>
      </c>
      <c r="G907" s="36">
        <f>IF(F906&gt;0,F907/F906-1,"")</f>
        <v/>
      </c>
      <c r="H907" s="36">
        <f>IF(G907="","",G907-$D$12)</f>
        <v/>
      </c>
    </row>
    <row r="908">
      <c r="B908" s="34" t="inlineStr">
        <is>
          <t>2025-03-10</t>
        </is>
      </c>
      <c r="C908" s="35" t="n">
        <v>462632.3898116231</v>
      </c>
      <c r="D908" s="36">
        <f>IF(C907&gt;0,C908/C907-1,"")</f>
        <v/>
      </c>
      <c r="E908" s="36">
        <f>IF(D908="","",D908-$C$12)</f>
        <v/>
      </c>
      <c r="F908" s="35" t="n">
        <v>424687.493392948</v>
      </c>
      <c r="G908" s="36">
        <f>IF(F907&gt;0,F908/F907-1,"")</f>
        <v/>
      </c>
      <c r="H908" s="36">
        <f>IF(G908="","",G908-$D$12)</f>
        <v/>
      </c>
    </row>
    <row r="909">
      <c r="B909" s="34" t="inlineStr">
        <is>
          <t>2025-03-11</t>
        </is>
      </c>
      <c r="C909" s="35" t="n">
        <v>457927.141492322</v>
      </c>
      <c r="D909" s="36">
        <f>IF(C908&gt;0,C909/C908-1,"")</f>
        <v/>
      </c>
      <c r="E909" s="36">
        <f>IF(D909="","",D909-$C$12)</f>
        <v/>
      </c>
      <c r="F909" s="35" t="n">
        <v>420754.6799761311</v>
      </c>
      <c r="G909" s="36">
        <f>IF(F908&gt;0,F909/F908-1,"")</f>
        <v/>
      </c>
      <c r="H909" s="36">
        <f>IF(G909="","",G909-$D$12)</f>
        <v/>
      </c>
    </row>
    <row r="910">
      <c r="B910" s="34" t="inlineStr">
        <is>
          <t>2025-03-12</t>
        </is>
      </c>
      <c r="C910" s="35" t="n">
        <v>461503.2330085701</v>
      </c>
      <c r="D910" s="36">
        <f>IF(C909&gt;0,C910/C909-1,"")</f>
        <v/>
      </c>
      <c r="E910" s="36">
        <f>IF(D910="","",D910-$C$12)</f>
        <v/>
      </c>
      <c r="F910" s="35" t="n">
        <v>423792.0448614666</v>
      </c>
      <c r="G910" s="36">
        <f>IF(F909&gt;0,F910/F909-1,"")</f>
        <v/>
      </c>
      <c r="H910" s="36">
        <f>IF(G910="","",G910-$D$12)</f>
        <v/>
      </c>
    </row>
    <row r="911">
      <c r="B911" s="34" t="inlineStr">
        <is>
          <t>2025-03-13</t>
        </is>
      </c>
      <c r="C911" s="35" t="n">
        <v>461111.8588422515</v>
      </c>
      <c r="D911" s="36">
        <f>IF(C910&gt;0,C911/C910-1,"")</f>
        <v/>
      </c>
      <c r="E911" s="36">
        <f>IF(D911="","",D911-$C$12)</f>
        <v/>
      </c>
      <c r="F911" s="35" t="n">
        <v>423175.5293776164</v>
      </c>
      <c r="G911" s="36">
        <f>IF(F910&gt;0,F911/F910-1,"")</f>
        <v/>
      </c>
      <c r="H911" s="36">
        <f>IF(G911="","",G911-$D$12)</f>
        <v/>
      </c>
    </row>
    <row r="912">
      <c r="B912" s="34" t="inlineStr">
        <is>
          <t>2025-03-14</t>
        </is>
      </c>
      <c r="C912" s="35" t="n">
        <v>462730.7284014996</v>
      </c>
      <c r="D912" s="36">
        <f>IF(C911&gt;0,C912/C911-1,"")</f>
        <v/>
      </c>
      <c r="E912" s="36">
        <f>IF(D912="","",D912-$C$12)</f>
        <v/>
      </c>
      <c r="F912" s="35" t="n">
        <v>424747.5583446862</v>
      </c>
      <c r="G912" s="36">
        <f>IF(F911&gt;0,F912/F911-1,"")</f>
        <v/>
      </c>
      <c r="H912" s="36">
        <f>IF(G912="","",G912-$D$12)</f>
        <v/>
      </c>
    </row>
    <row r="913">
      <c r="B913" s="34" t="inlineStr">
        <is>
          <t>2025-03-17</t>
        </is>
      </c>
      <c r="C913" s="35" t="n">
        <v>465442.3205675674</v>
      </c>
      <c r="D913" s="36">
        <f>IF(C912&gt;0,C913/C912-1,"")</f>
        <v/>
      </c>
      <c r="E913" s="36">
        <f>IF(D913="","",D913-$C$12)</f>
        <v/>
      </c>
      <c r="F913" s="35" t="n">
        <v>426765.183955792</v>
      </c>
      <c r="G913" s="36">
        <f>IF(F912&gt;0,F913/F912-1,"")</f>
        <v/>
      </c>
      <c r="H913" s="36">
        <f>IF(G913="","",G913-$D$12)</f>
        <v/>
      </c>
    </row>
    <row r="914">
      <c r="B914" s="34" t="inlineStr">
        <is>
          <t>2025-03-18</t>
        </is>
      </c>
      <c r="C914" s="35" t="n">
        <v>465113.9106256869</v>
      </c>
      <c r="D914" s="36">
        <f>IF(C913&gt;0,C914/C913-1,"")</f>
        <v/>
      </c>
      <c r="E914" s="36">
        <f>IF(D914="","",D914-$C$12)</f>
        <v/>
      </c>
      <c r="F914" s="35" t="n">
        <v>426771.1550433892</v>
      </c>
      <c r="G914" s="36">
        <f>IF(F913&gt;0,F914/F913-1,"")</f>
        <v/>
      </c>
      <c r="H914" s="36">
        <f>IF(G914="","",G914-$D$12)</f>
        <v/>
      </c>
    </row>
    <row r="915">
      <c r="B915" s="34" t="inlineStr">
        <is>
          <t>2025-03-19</t>
        </is>
      </c>
      <c r="C915" s="35" t="n">
        <v>465229.3010653832</v>
      </c>
      <c r="D915" s="36">
        <f>IF(C914&gt;0,C915/C914-1,"")</f>
        <v/>
      </c>
      <c r="E915" s="36">
        <f>IF(D915="","",D915-$C$12)</f>
        <v/>
      </c>
      <c r="F915" s="35" t="n">
        <v>426959.3075592386</v>
      </c>
      <c r="G915" s="36">
        <f>IF(F914&gt;0,F915/F914-1,"")</f>
        <v/>
      </c>
      <c r="H915" s="36">
        <f>IF(G915="","",G915-$D$12)</f>
        <v/>
      </c>
    </row>
    <row r="916">
      <c r="B916" s="34" t="inlineStr">
        <is>
          <t>2025-03-20</t>
        </is>
      </c>
      <c r="C916" s="35" t="n">
        <v>466405.8899760231</v>
      </c>
      <c r="D916" s="36">
        <f>IF(C915&gt;0,C916/C915-1,"")</f>
        <v/>
      </c>
      <c r="E916" s="36">
        <f>IF(D916="","",D916-$C$12)</f>
        <v/>
      </c>
      <c r="F916" s="35" t="n">
        <v>427801.384508911</v>
      </c>
      <c r="G916" s="36">
        <f>IF(F915&gt;0,F916/F915-1,"")</f>
        <v/>
      </c>
      <c r="H916" s="36">
        <f>IF(G916="","",G916-$D$12)</f>
        <v/>
      </c>
    </row>
    <row r="917">
      <c r="B917" s="34" t="inlineStr">
        <is>
          <t>2025-03-21</t>
        </is>
      </c>
      <c r="C917" s="35" t="n">
        <v>465851.7027693322</v>
      </c>
      <c r="D917" s="36">
        <f>IF(C916&gt;0,C917/C916-1,"")</f>
        <v/>
      </c>
      <c r="E917" s="36">
        <f>IF(D917="","",D917-$C$12)</f>
        <v/>
      </c>
      <c r="F917" s="35" t="n">
        <v>427272.7735350154</v>
      </c>
      <c r="G917" s="36">
        <f>IF(F916&gt;0,F917/F916-1,"")</f>
        <v/>
      </c>
      <c r="H917" s="36">
        <f>IF(G917="","",G917-$D$12)</f>
        <v/>
      </c>
    </row>
    <row r="918">
      <c r="B918" s="34" t="inlineStr">
        <is>
          <t>2025-03-24</t>
        </is>
      </c>
      <c r="C918" s="35" t="n">
        <v>466042.5989416488</v>
      </c>
      <c r="D918" s="36">
        <f>IF(C917&gt;0,C918/C917-1,"")</f>
        <v/>
      </c>
      <c r="E918" s="36">
        <f>IF(D918="","",D918-$C$12)</f>
        <v/>
      </c>
      <c r="F918" s="35" t="n">
        <v>427623.9556270114</v>
      </c>
      <c r="G918" s="36">
        <f>IF(F917&gt;0,F918/F917-1,"")</f>
        <v/>
      </c>
      <c r="H918" s="36">
        <f>IF(G918="","",G918-$D$12)</f>
        <v/>
      </c>
    </row>
    <row r="919">
      <c r="B919" s="34" t="inlineStr">
        <is>
          <t>2025-03-25</t>
        </is>
      </c>
      <c r="C919" s="35" t="n">
        <v>466701.387894831</v>
      </c>
      <c r="D919" s="36">
        <f>IF(C918&gt;0,C919/C918-1,"")</f>
        <v/>
      </c>
      <c r="E919" s="36">
        <f>IF(D919="","",D919-$C$12)</f>
        <v/>
      </c>
      <c r="F919" s="35" t="n">
        <v>428279.7829424751</v>
      </c>
      <c r="G919" s="36">
        <f>IF(F918&gt;0,F919/F918-1,"")</f>
        <v/>
      </c>
      <c r="H919" s="36">
        <f>IF(G919="","",G919-$D$12)</f>
        <v/>
      </c>
    </row>
    <row r="920">
      <c r="B920" s="34" t="inlineStr">
        <is>
          <t>2025-03-26</t>
        </is>
      </c>
      <c r="C920" s="35" t="n">
        <v>466043.4466390723</v>
      </c>
      <c r="D920" s="36">
        <f>IF(C919&gt;0,C920/C919-1,"")</f>
        <v/>
      </c>
      <c r="E920" s="36">
        <f>IF(D920="","",D920-$C$12)</f>
        <v/>
      </c>
      <c r="F920" s="35" t="n">
        <v>427602.2183788015</v>
      </c>
      <c r="G920" s="36">
        <f>IF(F919&gt;0,F920/F919-1,"")</f>
        <v/>
      </c>
      <c r="H920" s="36">
        <f>IF(G920="","",G920-$D$12)</f>
        <v/>
      </c>
    </row>
    <row r="921">
      <c r="B921" s="34" t="inlineStr">
        <is>
          <t>2025-03-27</t>
        </is>
      </c>
      <c r="C921" s="35" t="n">
        <v>464318.1713448856</v>
      </c>
      <c r="D921" s="36">
        <f>IF(C920&gt;0,C921/C920-1,"")</f>
        <v/>
      </c>
      <c r="E921" s="36">
        <f>IF(D921="","",D921-$C$12)</f>
        <v/>
      </c>
      <c r="F921" s="35" t="n">
        <v>426543.3255312135</v>
      </c>
      <c r="G921" s="36">
        <f>IF(F920&gt;0,F921/F920-1,"")</f>
        <v/>
      </c>
      <c r="H921" s="36">
        <f>IF(G921="","",G921-$D$12)</f>
        <v/>
      </c>
    </row>
    <row r="922">
      <c r="B922" s="34" t="inlineStr">
        <is>
          <t>2025-03-28</t>
        </is>
      </c>
      <c r="C922" s="35" t="n">
        <v>462514.4224901774</v>
      </c>
      <c r="D922" s="36">
        <f>IF(C921&gt;0,C922/C921-1,"")</f>
        <v/>
      </c>
      <c r="E922" s="36">
        <f>IF(D922="","",D922-$C$12)</f>
        <v/>
      </c>
      <c r="F922" s="35" t="n">
        <v>425101.6066908087</v>
      </c>
      <c r="G922" s="36">
        <f>IF(F921&gt;0,F922/F921-1,"")</f>
        <v/>
      </c>
      <c r="H922" s="36">
        <f>IF(G922="","",G922-$D$12)</f>
        <v/>
      </c>
    </row>
    <row r="923">
      <c r="B923" s="34" t="inlineStr">
        <is>
          <t>2025-03-31</t>
        </is>
      </c>
      <c r="C923" s="35" t="n">
        <v>459802.2730856175</v>
      </c>
      <c r="D923" s="36">
        <f>IF(C922&gt;0,C923/C922-1,"")</f>
        <v/>
      </c>
      <c r="E923" s="36">
        <f>IF(D923="","",D923-$C$12)</f>
        <v/>
      </c>
      <c r="F923" s="35" t="n">
        <v>422501.7438949087</v>
      </c>
      <c r="G923" s="36">
        <f>IF(F922&gt;0,F923/F922-1,"")</f>
        <v/>
      </c>
      <c r="H923" s="36">
        <f>IF(G923="","",G923-$D$12)</f>
        <v/>
      </c>
    </row>
    <row r="924">
      <c r="B924" s="34" t="inlineStr">
        <is>
          <t>2025-04-01</t>
        </is>
      </c>
      <c r="C924" s="35" t="n">
        <v>461934.6260054704</v>
      </c>
      <c r="D924" s="36">
        <f>IF(C923&gt;0,C924/C923-1,"")</f>
        <v/>
      </c>
      <c r="E924" s="36">
        <f>IF(D924="","",D924-$C$12)</f>
        <v/>
      </c>
      <c r="F924" s="35" t="n">
        <v>423810.2484625377</v>
      </c>
      <c r="G924" s="36">
        <f>IF(F923&gt;0,F924/F923-1,"")</f>
        <v/>
      </c>
      <c r="H924" s="36">
        <f>IF(G924="","",G924-$D$12)</f>
        <v/>
      </c>
    </row>
    <row r="925">
      <c r="B925" s="34" t="inlineStr">
        <is>
          <t>2025-04-02</t>
        </is>
      </c>
      <c r="C925" s="35" t="n">
        <v>460900.4551553189</v>
      </c>
      <c r="D925" s="36">
        <f>IF(C924&gt;0,C925/C924-1,"")</f>
        <v/>
      </c>
      <c r="E925" s="36">
        <f>IF(D925="","",D925-$C$12)</f>
        <v/>
      </c>
      <c r="F925" s="35" t="n">
        <v>423205.7832944358</v>
      </c>
      <c r="G925" s="36">
        <f>IF(F924&gt;0,F925/F924-1,"")</f>
        <v/>
      </c>
      <c r="H925" s="36">
        <f>IF(G925="","",G925-$D$12)</f>
        <v/>
      </c>
    </row>
    <row r="926">
      <c r="B926" s="34" t="inlineStr">
        <is>
          <t>2025-04-03</t>
        </is>
      </c>
      <c r="C926" s="35" t="n">
        <v>454482.913645766</v>
      </c>
      <c r="D926" s="36">
        <f>IF(C925&gt;0,C926/C925-1,"")</f>
        <v/>
      </c>
      <c r="E926" s="36">
        <f>IF(D926="","",D926-$C$12)</f>
        <v/>
      </c>
      <c r="F926" s="35" t="n">
        <v>417025.3053528058</v>
      </c>
      <c r="G926" s="36">
        <f>IF(F925&gt;0,F926/F925-1,"")</f>
        <v/>
      </c>
      <c r="H926" s="36">
        <f>IF(G926="","",G926-$D$12)</f>
        <v/>
      </c>
    </row>
    <row r="927">
      <c r="B927" s="34" t="inlineStr">
        <is>
          <t>2025-04-04</t>
        </is>
      </c>
      <c r="C927" s="35" t="n">
        <v>439565.1752035784</v>
      </c>
      <c r="D927" s="36">
        <f>IF(C926&gt;0,C927/C926-1,"")</f>
        <v/>
      </c>
      <c r="E927" s="36">
        <f>IF(D927="","",D927-$C$12)</f>
        <v/>
      </c>
      <c r="F927" s="35" t="n">
        <v>404395.380008987</v>
      </c>
      <c r="G927" s="36">
        <f>IF(F926&gt;0,F927/F926-1,"")</f>
        <v/>
      </c>
      <c r="H927" s="36">
        <f>IF(G927="","",G927-$D$12)</f>
        <v/>
      </c>
    </row>
    <row r="928">
      <c r="B928" s="34" t="inlineStr">
        <is>
          <t>2025-04-07</t>
        </is>
      </c>
      <c r="C928" s="35" t="n">
        <v>428590.4703493911</v>
      </c>
      <c r="D928" s="36">
        <f>IF(C927&gt;0,C928/C927-1,"")</f>
        <v/>
      </c>
      <c r="E928" s="36">
        <f>IF(D928="","",D928-$C$12)</f>
        <v/>
      </c>
      <c r="F928" s="35" t="n">
        <v>394821.5783298017</v>
      </c>
      <c r="G928" s="36">
        <f>IF(F927&gt;0,F928/F927-1,"")</f>
        <v/>
      </c>
      <c r="H928" s="36">
        <f>IF(G928="","",G928-$D$12)</f>
        <v/>
      </c>
    </row>
    <row r="929">
      <c r="B929" s="34" t="inlineStr">
        <is>
          <t>2025-04-08</t>
        </is>
      </c>
      <c r="C929" s="35" t="n">
        <v>433138.5911432958</v>
      </c>
      <c r="D929" s="36">
        <f>IF(C928&gt;0,C929/C928-1,"")</f>
        <v/>
      </c>
      <c r="E929" s="36">
        <f>IF(D929="","",D929-$C$12)</f>
        <v/>
      </c>
      <c r="F929" s="35" t="n">
        <v>398590.6520857445</v>
      </c>
      <c r="G929" s="36">
        <f>IF(F928&gt;0,F929/F928-1,"")</f>
        <v/>
      </c>
      <c r="H929" s="36">
        <f>IF(G929="","",G929-$D$12)</f>
        <v/>
      </c>
    </row>
    <row r="930">
      <c r="B930" s="34" t="inlineStr">
        <is>
          <t>2025-04-09</t>
        </is>
      </c>
      <c r="C930" s="35" t="n">
        <v>428031.3367062499</v>
      </c>
      <c r="D930" s="36">
        <f>IF(C929&gt;0,C930/C929-1,"")</f>
        <v/>
      </c>
      <c r="E930" s="36">
        <f>IF(D930="","",D930-$C$12)</f>
        <v/>
      </c>
      <c r="F930" s="35" t="n">
        <v>394327.1972101514</v>
      </c>
      <c r="G930" s="36">
        <f>IF(F929&gt;0,F930/F929-1,"")</f>
        <v/>
      </c>
      <c r="H930" s="36">
        <f>IF(G930="","",G930-$D$12)</f>
        <v/>
      </c>
    </row>
    <row r="931">
      <c r="B931" s="34" t="inlineStr">
        <is>
          <t>2025-04-10</t>
        </is>
      </c>
      <c r="C931" s="35" t="n">
        <v>432384.6655527909</v>
      </c>
      <c r="D931" s="36">
        <f>IF(C930&gt;0,C931/C930-1,"")</f>
        <v/>
      </c>
      <c r="E931" s="36">
        <f>IF(D931="","",D931-$C$12)</f>
        <v/>
      </c>
      <c r="F931" s="35" t="n">
        <v>397809.9837118517</v>
      </c>
      <c r="G931" s="36">
        <f>IF(F930&gt;0,F931/F930-1,"")</f>
        <v/>
      </c>
      <c r="H931" s="36">
        <f>IF(G931="","",G931-$D$12)</f>
        <v/>
      </c>
    </row>
    <row r="932">
      <c r="B932" s="34" t="inlineStr">
        <is>
          <t>2025-04-11</t>
        </is>
      </c>
      <c r="C932" s="35" t="n">
        <v>431738.7816611018</v>
      </c>
      <c r="D932" s="36">
        <f>IF(C931&gt;0,C932/C931-1,"")</f>
        <v/>
      </c>
      <c r="E932" s="36">
        <f>IF(D932="","",D932-$C$12)</f>
        <v/>
      </c>
      <c r="F932" s="35" t="n">
        <v>397683.6076835651</v>
      </c>
      <c r="G932" s="36">
        <f>IF(F931&gt;0,F932/F931-1,"")</f>
        <v/>
      </c>
      <c r="H932" s="36">
        <f>IF(G932="","",G932-$D$12)</f>
        <v/>
      </c>
    </row>
    <row r="933">
      <c r="B933" s="34" t="inlineStr">
        <is>
          <t>2025-04-14</t>
        </is>
      </c>
      <c r="C933" s="35" t="n">
        <v>437135.9186044233</v>
      </c>
      <c r="D933" s="36">
        <f>IF(C932&gt;0,C933/C932-1,"")</f>
        <v/>
      </c>
      <c r="E933" s="36">
        <f>IF(D933="","",D933-$C$12)</f>
        <v/>
      </c>
      <c r="F933" s="35" t="n">
        <v>402052.8202728353</v>
      </c>
      <c r="G933" s="36">
        <f>IF(F932&gt;0,F933/F932-1,"")</f>
        <v/>
      </c>
      <c r="H933" s="36">
        <f>IF(G933="","",G933-$D$12)</f>
        <v/>
      </c>
    </row>
    <row r="934">
      <c r="B934" s="34" t="inlineStr">
        <is>
          <t>2025-04-15</t>
        </is>
      </c>
      <c r="C934" s="35" t="n">
        <v>440538.3873844593</v>
      </c>
      <c r="D934" s="36">
        <f>IF(C933&gt;0,C934/C933-1,"")</f>
        <v/>
      </c>
      <c r="E934" s="36">
        <f>IF(D934="","",D934-$C$12)</f>
        <v/>
      </c>
      <c r="F934" s="35" t="n">
        <v>405020.2273109336</v>
      </c>
      <c r="G934" s="36">
        <f>IF(F933&gt;0,F934/F933-1,"")</f>
        <v/>
      </c>
      <c r="H934" s="36">
        <f>IF(G934="","",G934-$D$12)</f>
        <v/>
      </c>
    </row>
    <row r="935">
      <c r="B935" s="34" t="inlineStr">
        <is>
          <t>2025-04-16</t>
        </is>
      </c>
      <c r="C935" s="35" t="n">
        <v>440141.268248901</v>
      </c>
      <c r="D935" s="36">
        <f>IF(C934&gt;0,C935/C934-1,"")</f>
        <v/>
      </c>
      <c r="E935" s="36">
        <f>IF(D935="","",D935-$C$12)</f>
        <v/>
      </c>
      <c r="F935" s="35" t="n">
        <v>404757.7645447904</v>
      </c>
      <c r="G935" s="36">
        <f>IF(F934&gt;0,F935/F934-1,"")</f>
        <v/>
      </c>
      <c r="H935" s="36">
        <f>IF(G935="","",G935-$D$12)</f>
        <v/>
      </c>
    </row>
    <row r="936">
      <c r="B936" s="34" t="inlineStr">
        <is>
          <t>2025-04-17</t>
        </is>
      </c>
      <c r="C936" s="35" t="n">
        <v>441176.5665658957</v>
      </c>
      <c r="D936" s="36">
        <f>IF(C935&gt;0,C936/C935-1,"")</f>
        <v/>
      </c>
      <c r="E936" s="36">
        <f>IF(D936="","",D936-$C$12)</f>
        <v/>
      </c>
      <c r="F936" s="35" t="n">
        <v>405901.1519219988</v>
      </c>
      <c r="G936" s="36">
        <f>IF(F935&gt;0,F936/F935-1,"")</f>
        <v/>
      </c>
      <c r="H936" s="36">
        <f>IF(G936="","",G936-$D$12)</f>
        <v/>
      </c>
    </row>
    <row r="937">
      <c r="B937" s="34" t="inlineStr">
        <is>
          <t>2025-04-21</t>
        </is>
      </c>
      <c r="C937" s="35" t="n">
        <v>440727.9512661488</v>
      </c>
      <c r="D937" s="36">
        <f>IF(C936&gt;0,C937/C936-1,"")</f>
        <v/>
      </c>
      <c r="E937" s="36">
        <f>IF(D937="","",D937-$C$12)</f>
        <v/>
      </c>
      <c r="F937" s="35" t="n">
        <v>405519.4813243423</v>
      </c>
      <c r="G937" s="36">
        <f>IF(F936&gt;0,F937/F936-1,"")</f>
        <v/>
      </c>
      <c r="H937" s="36">
        <f>IF(G937="","",G937-$D$12)</f>
        <v/>
      </c>
    </row>
    <row r="938">
      <c r="B938" s="34" t="inlineStr">
        <is>
          <t>2025-04-22</t>
        </is>
      </c>
      <c r="C938" s="35" t="n">
        <v>442444.7976745928</v>
      </c>
      <c r="D938" s="36">
        <f>IF(C937&gt;0,C938/C937-1,"")</f>
        <v/>
      </c>
      <c r="E938" s="36">
        <f>IF(D938="","",D938-$C$12)</f>
        <v/>
      </c>
      <c r="F938" s="35" t="n">
        <v>407460.4321451949</v>
      </c>
      <c r="G938" s="36">
        <f>IF(F937&gt;0,F938/F937-1,"")</f>
        <v/>
      </c>
      <c r="H938" s="36">
        <f>IF(G938="","",G938-$D$12)</f>
        <v/>
      </c>
    </row>
    <row r="939">
      <c r="B939" s="34" t="inlineStr">
        <is>
          <t>2025-04-23</t>
        </is>
      </c>
      <c r="C939" s="35" t="n">
        <v>445833.624099917</v>
      </c>
      <c r="D939" s="36">
        <f>IF(C938&gt;0,C939/C938-1,"")</f>
        <v/>
      </c>
      <c r="E939" s="36">
        <f>IF(D939="","",D939-$C$12)</f>
        <v/>
      </c>
      <c r="F939" s="35" t="n">
        <v>410420.5414789788</v>
      </c>
      <c r="G939" s="36">
        <f>IF(F938&gt;0,F939/F938-1,"")</f>
        <v/>
      </c>
      <c r="H939" s="36">
        <f>IF(G939="","",G939-$D$12)</f>
        <v/>
      </c>
    </row>
    <row r="940">
      <c r="B940" s="34" t="inlineStr">
        <is>
          <t>2025-04-24</t>
        </is>
      </c>
      <c r="C940" s="35" t="n">
        <v>447892.6283473113</v>
      </c>
      <c r="D940" s="36">
        <f>IF(C939&gt;0,C940/C939-1,"")</f>
        <v/>
      </c>
      <c r="E940" s="36">
        <f>IF(D940="","",D940-$C$12)</f>
        <v/>
      </c>
      <c r="F940" s="35" t="n">
        <v>412220.2399749937</v>
      </c>
      <c r="G940" s="36">
        <f>IF(F939&gt;0,F940/F939-1,"")</f>
        <v/>
      </c>
      <c r="H940" s="36">
        <f>IF(G940="","",G940-$D$12)</f>
        <v/>
      </c>
    </row>
    <row r="941">
      <c r="B941" s="34" t="inlineStr">
        <is>
          <t>2025-04-25</t>
        </is>
      </c>
      <c r="C941" s="35" t="n">
        <v>448323.863364665</v>
      </c>
      <c r="D941" s="36">
        <f>IF(C940&gt;0,C941/C940-1,"")</f>
        <v/>
      </c>
      <c r="E941" s="36">
        <f>IF(D941="","",D941-$C$12)</f>
        <v/>
      </c>
      <c r="F941" s="35" t="n">
        <v>412584.1598945447</v>
      </c>
      <c r="G941" s="36">
        <f>IF(F940&gt;0,F941/F940-1,"")</f>
        <v/>
      </c>
      <c r="H941" s="36">
        <f>IF(G941="","",G941-$D$12)</f>
        <v/>
      </c>
    </row>
    <row r="942">
      <c r="B942" s="34" t="inlineStr">
        <is>
          <t>2025-04-28</t>
        </is>
      </c>
      <c r="C942" s="35" t="n">
        <v>449435.425450145</v>
      </c>
      <c r="D942" s="36">
        <f>IF(C941&gt;0,C942/C941-1,"")</f>
        <v/>
      </c>
      <c r="E942" s="36">
        <f>IF(D942="","",D942-$C$12)</f>
        <v/>
      </c>
      <c r="F942" s="35" t="n">
        <v>413496.6785229722</v>
      </c>
      <c r="G942" s="36">
        <f>IF(F941&gt;0,F942/F941-1,"")</f>
        <v/>
      </c>
      <c r="H942" s="36">
        <f>IF(G942="","",G942-$D$12)</f>
        <v/>
      </c>
    </row>
    <row r="943">
      <c r="B943" s="34" t="inlineStr">
        <is>
          <t>2025-04-29</t>
        </is>
      </c>
      <c r="C943" s="35" t="n">
        <v>450794.2979074699</v>
      </c>
      <c r="D943" s="36">
        <f>IF(C942&gt;0,C943/C942-1,"")</f>
        <v/>
      </c>
      <c r="E943" s="36">
        <f>IF(D943="","",D943-$C$12)</f>
        <v/>
      </c>
      <c r="F943" s="35" t="n">
        <v>414601.2427756116</v>
      </c>
      <c r="G943" s="36">
        <f>IF(F942&gt;0,F943/F942-1,"")</f>
        <v/>
      </c>
      <c r="H943" s="36">
        <f>IF(G943="","",G943-$D$12)</f>
        <v/>
      </c>
    </row>
    <row r="944">
      <c r="B944" s="34" t="inlineStr">
        <is>
          <t>2025-04-30</t>
        </is>
      </c>
      <c r="C944" s="35" t="n">
        <v>452448.5870347976</v>
      </c>
      <c r="D944" s="36">
        <f>IF(C943&gt;0,C944/C943-1,"")</f>
        <v/>
      </c>
      <c r="E944" s="36">
        <f>IF(D944="","",D944-$C$12)</f>
        <v/>
      </c>
      <c r="F944" s="35" t="n">
        <v>416044.7299443408</v>
      </c>
      <c r="G944" s="36">
        <f>IF(F943&gt;0,F944/F943-1,"")</f>
        <v/>
      </c>
      <c r="H944" s="36">
        <f>IF(G944="","",G944-$D$12)</f>
        <v/>
      </c>
    </row>
    <row r="945">
      <c r="B945" s="34" t="inlineStr">
        <is>
          <t>2025-05-01</t>
        </is>
      </c>
      <c r="C945" s="35" t="n">
        <v>452625.211633376</v>
      </c>
      <c r="D945" s="36">
        <f>IF(C944&gt;0,C945/C944-1,"")</f>
        <v/>
      </c>
      <c r="E945" s="36">
        <f>IF(D945="","",D945-$C$12)</f>
        <v/>
      </c>
      <c r="F945" s="35" t="n">
        <v>416027.6148418224</v>
      </c>
      <c r="G945" s="36">
        <f>IF(F944&gt;0,F945/F944-1,"")</f>
        <v/>
      </c>
      <c r="H945" s="36">
        <f>IF(G945="","",G945-$D$12)</f>
        <v/>
      </c>
    </row>
    <row r="946">
      <c r="B946" s="34" t="inlineStr">
        <is>
          <t>2025-05-02</t>
        </is>
      </c>
      <c r="C946" s="35" t="n">
        <v>456155.2329637958</v>
      </c>
      <c r="D946" s="36">
        <f>IF(C945&gt;0,C946/C945-1,"")</f>
        <v/>
      </c>
      <c r="E946" s="36">
        <f>IF(D946="","",D946-$C$12)</f>
        <v/>
      </c>
      <c r="F946" s="35" t="n">
        <v>419172.2835008148</v>
      </c>
      <c r="G946" s="36">
        <f>IF(F945&gt;0,F946/F945-1,"")</f>
        <v/>
      </c>
      <c r="H946" s="36">
        <f>IF(G946="","",G946-$D$12)</f>
        <v/>
      </c>
    </row>
    <row r="947">
      <c r="B947" s="34" t="inlineStr">
        <is>
          <t>2025-05-05</t>
        </is>
      </c>
      <c r="C947" s="35" t="n">
        <v>456135.2848806356</v>
      </c>
      <c r="D947" s="36">
        <f>IF(C946&gt;0,C947/C946-1,"")</f>
        <v/>
      </c>
      <c r="E947" s="36">
        <f>IF(D947="","",D947-$C$12)</f>
        <v/>
      </c>
      <c r="F947" s="35" t="n">
        <v>418486.9668025846</v>
      </c>
      <c r="G947" s="36">
        <f>IF(F946&gt;0,F947/F946-1,"")</f>
        <v/>
      </c>
      <c r="H947" s="36">
        <f>IF(G947="","",G947-$D$12)</f>
        <v/>
      </c>
    </row>
    <row r="948">
      <c r="B948" s="34" t="inlineStr">
        <is>
          <t>2025-05-06</t>
        </is>
      </c>
      <c r="C948" s="35" t="n">
        <v>457199.1817356983</v>
      </c>
      <c r="D948" s="36">
        <f>IF(C947&gt;0,C948/C947-1,"")</f>
        <v/>
      </c>
      <c r="E948" s="36">
        <f>IF(D948="","",D948-$C$12)</f>
        <v/>
      </c>
      <c r="F948" s="35" t="n">
        <v>419595.6464121642</v>
      </c>
      <c r="G948" s="36">
        <f>IF(F947&gt;0,F948/F947-1,"")</f>
        <v/>
      </c>
      <c r="H948" s="36">
        <f>IF(G948="","",G948-$D$12)</f>
        <v/>
      </c>
    </row>
    <row r="949">
      <c r="B949" s="34" t="inlineStr">
        <is>
          <t>2025-05-07</t>
        </is>
      </c>
      <c r="C949" s="35" t="n">
        <v>456094.8390878275</v>
      </c>
      <c r="D949" s="36">
        <f>IF(C948&gt;0,C949/C948-1,"")</f>
        <v/>
      </c>
      <c r="E949" s="36">
        <f>IF(D949="","",D949-$C$12)</f>
        <v/>
      </c>
      <c r="F949" s="35" t="n">
        <v>418432.7135518497</v>
      </c>
      <c r="G949" s="36">
        <f>IF(F948&gt;0,F949/F948-1,"")</f>
        <v/>
      </c>
      <c r="H949" s="36">
        <f>IF(G949="","",G949-$D$12)</f>
        <v/>
      </c>
    </row>
    <row r="950">
      <c r="B950" s="34" t="inlineStr">
        <is>
          <t>2025-05-08</t>
        </is>
      </c>
      <c r="C950" s="35" t="n">
        <v>455645.499491256</v>
      </c>
      <c r="D950" s="36">
        <f>IF(C949&gt;0,C950/C949-1,"")</f>
        <v/>
      </c>
      <c r="E950" s="36">
        <f>IF(D950="","",D950-$C$12)</f>
        <v/>
      </c>
      <c r="F950" s="35" t="n">
        <v>418286.0641725194</v>
      </c>
      <c r="G950" s="36">
        <f>IF(F949&gt;0,F950/F949-1,"")</f>
        <v/>
      </c>
      <c r="H950" s="36">
        <f>IF(G950="","",G950-$D$12)</f>
        <v/>
      </c>
    </row>
    <row r="951">
      <c r="B951" s="34" t="inlineStr">
        <is>
          <t>2025-05-09</t>
        </is>
      </c>
      <c r="C951" s="35" t="n">
        <v>455359.9838100945</v>
      </c>
      <c r="D951" s="36">
        <f>IF(C950&gt;0,C951/C950-1,"")</f>
        <v/>
      </c>
      <c r="E951" s="36">
        <f>IF(D951="","",D951-$C$12)</f>
        <v/>
      </c>
      <c r="F951" s="35" t="n">
        <v>417948.7140443284</v>
      </c>
      <c r="G951" s="36">
        <f>IF(F950&gt;0,F951/F950-1,"")</f>
        <v/>
      </c>
      <c r="H951" s="36">
        <f>IF(G951="","",G951-$D$12)</f>
        <v/>
      </c>
    </row>
    <row r="952">
      <c r="B952" s="34" t="inlineStr">
        <is>
          <t>2025-05-12</t>
        </is>
      </c>
      <c r="C952" s="35" t="n">
        <v>455774.9525360262</v>
      </c>
      <c r="D952" s="36">
        <f>IF(C951&gt;0,C952/C951-1,"")</f>
        <v/>
      </c>
      <c r="E952" s="36">
        <f>IF(D952="","",D952-$C$12)</f>
        <v/>
      </c>
      <c r="F952" s="35" t="n">
        <v>419016.7190091098</v>
      </c>
      <c r="G952" s="36">
        <f>IF(F951&gt;0,F952/F951-1,"")</f>
        <v/>
      </c>
      <c r="H952" s="36">
        <f>IF(G952="","",G952-$D$12)</f>
        <v/>
      </c>
    </row>
    <row r="953">
      <c r="B953" s="34" t="inlineStr">
        <is>
          <t>2025-05-13</t>
        </is>
      </c>
      <c r="C953" s="35" t="n">
        <v>455036.2287630399</v>
      </c>
      <c r="D953" s="36">
        <f>IF(C952&gt;0,C953/C952-1,"")</f>
        <v/>
      </c>
      <c r="E953" s="36">
        <f>IF(D953="","",D953-$C$12)</f>
        <v/>
      </c>
      <c r="F953" s="35" t="n">
        <v>418355.8552945197</v>
      </c>
      <c r="G953" s="36">
        <f>IF(F952&gt;0,F953/F952-1,"")</f>
        <v/>
      </c>
      <c r="H953" s="36">
        <f>IF(G953="","",G953-$D$12)</f>
        <v/>
      </c>
    </row>
    <row r="954">
      <c r="B954" s="34" t="inlineStr">
        <is>
          <t>2025-05-14</t>
        </is>
      </c>
      <c r="C954" s="35" t="n">
        <v>456155.2638790412</v>
      </c>
      <c r="D954" s="36">
        <f>IF(C953&gt;0,C954/C953-1,"")</f>
        <v/>
      </c>
      <c r="E954" s="36">
        <f>IF(D954="","",D954-$C$12)</f>
        <v/>
      </c>
      <c r="F954" s="35" t="n">
        <v>418567.6038276444</v>
      </c>
      <c r="G954" s="36">
        <f>IF(F953&gt;0,F954/F953-1,"")</f>
        <v/>
      </c>
      <c r="H954" s="36">
        <f>IF(G954="","",G954-$D$12)</f>
        <v/>
      </c>
    </row>
    <row r="955">
      <c r="B955" s="34" t="inlineStr">
        <is>
          <t>2025-05-15</t>
        </is>
      </c>
      <c r="C955" s="35" t="n">
        <v>457815.8567397318</v>
      </c>
      <c r="D955" s="36">
        <f>IF(C954&gt;0,C955/C954-1,"")</f>
        <v/>
      </c>
      <c r="E955" s="36">
        <f>IF(D955="","",D955-$C$12)</f>
        <v/>
      </c>
      <c r="F955" s="35" t="n">
        <v>419915.8163931448</v>
      </c>
      <c r="G955" s="36">
        <f>IF(F954&gt;0,F955/F954-1,"")</f>
        <v/>
      </c>
      <c r="H955" s="36">
        <f>IF(G955="","",G955-$D$12)</f>
        <v/>
      </c>
    </row>
    <row r="956">
      <c r="B956" s="34" t="inlineStr">
        <is>
          <t>2025-05-16</t>
        </is>
      </c>
      <c r="C956" s="35" t="n">
        <v>458444.5395621002</v>
      </c>
      <c r="D956" s="36">
        <f>IF(C955&gt;0,C956/C955-1,"")</f>
        <v/>
      </c>
      <c r="E956" s="36">
        <f>IF(D956="","",D956-$C$12)</f>
        <v/>
      </c>
      <c r="F956" s="35" t="n">
        <v>420668.8890067691</v>
      </c>
      <c r="G956" s="36">
        <f>IF(F955&gt;0,F956/F955-1,"")</f>
        <v/>
      </c>
      <c r="H956" s="36">
        <f>IF(G956="","",G956-$D$12)</f>
        <v/>
      </c>
    </row>
    <row r="957">
      <c r="B957" s="34" t="inlineStr">
        <is>
          <t>2025-05-19</t>
        </is>
      </c>
      <c r="C957" s="35" t="n">
        <v>459250.5104553567</v>
      </c>
      <c r="D957" s="36">
        <f>IF(C956&gt;0,C957/C956-1,"")</f>
        <v/>
      </c>
      <c r="E957" s="36">
        <f>IF(D957="","",D957-$C$12)</f>
        <v/>
      </c>
      <c r="F957" s="35" t="n">
        <v>421411.7620459907</v>
      </c>
      <c r="G957" s="36">
        <f>IF(F956&gt;0,F957/F956-1,"")</f>
        <v/>
      </c>
      <c r="H957" s="36">
        <f>IF(G957="","",G957-$D$12)</f>
        <v/>
      </c>
    </row>
    <row r="958">
      <c r="B958" s="34" t="inlineStr">
        <is>
          <t>2025-05-20</t>
        </is>
      </c>
      <c r="C958" s="35" t="n">
        <v>460541.2386208203</v>
      </c>
      <c r="D958" s="36">
        <f>IF(C957&gt;0,C958/C957-1,"")</f>
        <v/>
      </c>
      <c r="E958" s="36">
        <f>IF(D958="","",D958-$C$12)</f>
        <v/>
      </c>
      <c r="F958" s="35" t="n">
        <v>422920.6649543821</v>
      </c>
      <c r="G958" s="36">
        <f>IF(F957&gt;0,F958/F957-1,"")</f>
        <v/>
      </c>
      <c r="H958" s="36">
        <f>IF(G958="","",G958-$D$12)</f>
        <v/>
      </c>
    </row>
    <row r="959">
      <c r="B959" s="34" t="inlineStr">
        <is>
          <t>2025-05-21</t>
        </is>
      </c>
      <c r="C959" s="35" t="n">
        <v>462297.0115374353</v>
      </c>
      <c r="D959" s="36">
        <f>IF(C958&gt;0,C959/C958-1,"")</f>
        <v/>
      </c>
      <c r="E959" s="36">
        <f>IF(D959="","",D959-$C$12)</f>
        <v/>
      </c>
      <c r="F959" s="35" t="n">
        <v>424323.2225287257</v>
      </c>
      <c r="G959" s="36">
        <f>IF(F958&gt;0,F959/F958-1,"")</f>
        <v/>
      </c>
      <c r="H959" s="36">
        <f>IF(G959="","",G959-$D$12)</f>
        <v/>
      </c>
    </row>
    <row r="960">
      <c r="B960" s="34" t="inlineStr">
        <is>
          <t>2025-05-22</t>
        </is>
      </c>
      <c r="C960" s="35" t="n">
        <v>459897.2500839292</v>
      </c>
      <c r="D960" s="36">
        <f>IF(C959&gt;0,C960/C959-1,"")</f>
        <v/>
      </c>
      <c r="E960" s="36">
        <f>IF(D960="","",D960-$C$12)</f>
        <v/>
      </c>
      <c r="F960" s="35" t="n">
        <v>422496.9124238254</v>
      </c>
      <c r="G960" s="36">
        <f>IF(F959&gt;0,F960/F959-1,"")</f>
        <v/>
      </c>
      <c r="H960" s="36">
        <f>IF(G960="","",G960-$D$12)</f>
        <v/>
      </c>
    </row>
    <row r="961">
      <c r="B961" s="34" t="inlineStr">
        <is>
          <t>2025-05-23</t>
        </is>
      </c>
      <c r="C961" s="35" t="n">
        <v>459030.9024494386</v>
      </c>
      <c r="D961" s="36">
        <f>IF(C960&gt;0,C961/C960-1,"")</f>
        <v/>
      </c>
      <c r="E961" s="36">
        <f>IF(D961="","",D961-$C$12)</f>
        <v/>
      </c>
      <c r="F961" s="35" t="n">
        <v>421721.6406067482</v>
      </c>
      <c r="G961" s="36">
        <f>IF(F960&gt;0,F961/F960-1,"")</f>
        <v/>
      </c>
      <c r="H961" s="36">
        <f>IF(G961="","",G961-$D$12)</f>
        <v/>
      </c>
    </row>
    <row r="962">
      <c r="B962" s="34" t="inlineStr">
        <is>
          <t>2025-05-26</t>
        </is>
      </c>
      <c r="C962" s="35" t="n">
        <v>461367.6616311063</v>
      </c>
      <c r="D962" s="36">
        <f>IF(C961&gt;0,C962/C961-1,"")</f>
        <v/>
      </c>
      <c r="E962" s="36">
        <f>IF(D962="","",D962-$C$12)</f>
        <v/>
      </c>
      <c r="F962" s="35" t="n">
        <v>423928.5238955721</v>
      </c>
      <c r="G962" s="36">
        <f>IF(F961&gt;0,F962/F961-1,"")</f>
        <v/>
      </c>
      <c r="H962" s="36">
        <f>IF(G962="","",G962-$D$12)</f>
        <v/>
      </c>
    </row>
    <row r="963">
      <c r="B963" s="34" t="inlineStr">
        <is>
          <t>2025-05-27</t>
        </is>
      </c>
      <c r="C963" s="35" t="n">
        <v>461615.2944867616</v>
      </c>
      <c r="D963" s="36">
        <f>IF(C962&gt;0,C963/C962-1,"")</f>
        <v/>
      </c>
      <c r="E963" s="36">
        <f>IF(D963="","",D963-$C$12)</f>
        <v/>
      </c>
      <c r="F963" s="35" t="n">
        <v>424035.955212154</v>
      </c>
      <c r="G963" s="36">
        <f>IF(F962&gt;0,F963/F962-1,"")</f>
        <v/>
      </c>
      <c r="H963" s="36">
        <f>IF(G963="","",G963-$D$12)</f>
        <v/>
      </c>
    </row>
    <row r="964">
      <c r="B964" s="34" t="inlineStr">
        <is>
          <t>2025-05-28</t>
        </is>
      </c>
      <c r="C964" s="35" t="n">
        <v>458902.6985469828</v>
      </c>
      <c r="D964" s="36">
        <f>IF(C963&gt;0,C964/C963-1,"")</f>
        <v/>
      </c>
      <c r="E964" s="36">
        <f>IF(D964="","",D964-$C$12)</f>
        <v/>
      </c>
      <c r="F964" s="35" t="n">
        <v>421956.9533801861</v>
      </c>
      <c r="G964" s="36">
        <f>IF(F963&gt;0,F964/F963-1,"")</f>
        <v/>
      </c>
      <c r="H964" s="36">
        <f>IF(G964="","",G964-$D$12)</f>
        <v/>
      </c>
    </row>
    <row r="965">
      <c r="B965" s="34" t="inlineStr">
        <is>
          <t>2025-05-29</t>
        </is>
      </c>
      <c r="C965" s="35" t="n">
        <v>458745.713806599</v>
      </c>
      <c r="D965" s="36">
        <f>IF(C964&gt;0,C965/C964-1,"")</f>
        <v/>
      </c>
      <c r="E965" s="36">
        <f>IF(D965="","",D965-$C$12)</f>
        <v/>
      </c>
      <c r="F965" s="35" t="n">
        <v>421647.2877098146</v>
      </c>
      <c r="G965" s="36">
        <f>IF(F964&gt;0,F965/F964-1,"")</f>
        <v/>
      </c>
      <c r="H965" s="36">
        <f>IF(G965="","",G965-$D$12)</f>
        <v/>
      </c>
    </row>
    <row r="966">
      <c r="B966" s="34" t="inlineStr">
        <is>
          <t>2025-05-30</t>
        </is>
      </c>
      <c r="C966" s="35" t="n">
        <v>459039.5785420156</v>
      </c>
      <c r="D966" s="36">
        <f>IF(C965&gt;0,C966/C965-1,"")</f>
        <v/>
      </c>
      <c r="E966" s="36">
        <f>IF(D966="","",D966-$C$12)</f>
        <v/>
      </c>
      <c r="F966" s="35" t="n">
        <v>421563.5701187039</v>
      </c>
      <c r="G966" s="36">
        <f>IF(F965&gt;0,F966/F965-1,"")</f>
        <v/>
      </c>
      <c r="H966" s="36">
        <f>IF(G966="","",G966-$D$12)</f>
        <v/>
      </c>
    </row>
    <row r="967">
      <c r="B967" s="34" t="inlineStr">
        <is>
          <t>2025-06-02</t>
        </is>
      </c>
      <c r="C967" s="35" t="n">
        <v>460054.0522433742</v>
      </c>
      <c r="D967" s="36">
        <f>IF(C966&gt;0,C967/C966-1,"")</f>
        <v/>
      </c>
      <c r="E967" s="36">
        <f>IF(D967="","",D967-$C$12)</f>
        <v/>
      </c>
      <c r="F967" s="35" t="n">
        <v>422342.1827392997</v>
      </c>
      <c r="G967" s="36">
        <f>IF(F966&gt;0,F967/F966-1,"")</f>
        <v/>
      </c>
      <c r="H967" s="36">
        <f>IF(G967="","",G967-$D$12)</f>
        <v/>
      </c>
    </row>
    <row r="968">
      <c r="B968" s="34" t="inlineStr">
        <is>
          <t>2025-06-03</t>
        </is>
      </c>
      <c r="C968" s="35" t="n">
        <v>460254.3645646021</v>
      </c>
      <c r="D968" s="36">
        <f>IF(C967&gt;0,C968/C967-1,"")</f>
        <v/>
      </c>
      <c r="E968" s="36">
        <f>IF(D968="","",D968-$C$12)</f>
        <v/>
      </c>
      <c r="F968" s="35" t="n">
        <v>422835.5661505623</v>
      </c>
      <c r="G968" s="36">
        <f>IF(F967&gt;0,F968/F967-1,"")</f>
        <v/>
      </c>
      <c r="H968" s="36">
        <f>IF(G968="","",G968-$D$12)</f>
        <v/>
      </c>
    </row>
    <row r="969">
      <c r="B969" s="34" t="inlineStr">
        <is>
          <t>2025-06-04</t>
        </is>
      </c>
      <c r="C969" s="35" t="n">
        <v>461248.3234518731</v>
      </c>
      <c r="D969" s="36">
        <f>IF(C968&gt;0,C969/C968-1,"")</f>
        <v/>
      </c>
      <c r="E969" s="36">
        <f>IF(D969="","",D969-$C$12)</f>
        <v/>
      </c>
      <c r="F969" s="35" t="n">
        <v>423625.8185125754</v>
      </c>
      <c r="G969" s="36">
        <f>IF(F968&gt;0,F969/F968-1,"")</f>
        <v/>
      </c>
      <c r="H969" s="36">
        <f>IF(G969="","",G969-$D$12)</f>
        <v/>
      </c>
    </row>
    <row r="970">
      <c r="B970" s="34" t="inlineStr">
        <is>
          <t>2025-06-05</t>
        </is>
      </c>
      <c r="C970" s="35" t="n">
        <v>461262.32776365</v>
      </c>
      <c r="D970" s="36">
        <f>IF(C969&gt;0,C970/C969-1,"")</f>
        <v/>
      </c>
      <c r="E970" s="36">
        <f>IF(D970="","",D970-$C$12)</f>
        <v/>
      </c>
      <c r="F970" s="35" t="n">
        <v>423554.1528323198</v>
      </c>
      <c r="G970" s="36">
        <f>IF(F969&gt;0,F970/F969-1,"")</f>
        <v/>
      </c>
      <c r="H970" s="36">
        <f>IF(G970="","",G970-$D$12)</f>
        <v/>
      </c>
    </row>
    <row r="971">
      <c r="B971" s="34" t="inlineStr">
        <is>
          <t>2025-06-06</t>
        </is>
      </c>
      <c r="C971" s="35" t="n">
        <v>462663.7762864158</v>
      </c>
      <c r="D971" s="36">
        <f>IF(C970&gt;0,C971/C970-1,"")</f>
        <v/>
      </c>
      <c r="E971" s="36">
        <f>IF(D971="","",D971-$C$12)</f>
        <v/>
      </c>
      <c r="F971" s="35" t="n">
        <v>424644.9567351417</v>
      </c>
      <c r="G971" s="36">
        <f>IF(F970&gt;0,F971/F970-1,"")</f>
        <v/>
      </c>
      <c r="H971" s="36">
        <f>IF(G971="","",G971-$D$12)</f>
        <v/>
      </c>
    </row>
    <row r="972">
      <c r="B972" s="34" t="inlineStr">
        <is>
          <t>2025-06-09</t>
        </is>
      </c>
      <c r="C972" s="35" t="n">
        <v>463287.0297056438</v>
      </c>
      <c r="D972" s="36">
        <f>IF(C971&gt;0,C972/C971-1,"")</f>
        <v/>
      </c>
      <c r="E972" s="36">
        <f>IF(D972="","",D972-$C$12)</f>
        <v/>
      </c>
      <c r="F972" s="35" t="n">
        <v>424992.3502362565</v>
      </c>
      <c r="G972" s="36">
        <f>IF(F971&gt;0,F972/F971-1,"")</f>
        <v/>
      </c>
      <c r="H972" s="36">
        <f>IF(G972="","",G972-$D$12)</f>
        <v/>
      </c>
    </row>
    <row r="973">
      <c r="B973" s="34" t="inlineStr">
        <is>
          <t>2025-06-10</t>
        </is>
      </c>
      <c r="C973" s="35" t="n">
        <v>463327.4609592662</v>
      </c>
      <c r="D973" s="36">
        <f>IF(C972&gt;0,C973/C972-1,"")</f>
        <v/>
      </c>
      <c r="E973" s="36">
        <f>IF(D973="","",D973-$C$12)</f>
        <v/>
      </c>
      <c r="F973" s="35" t="n">
        <v>425447.512227239</v>
      </c>
      <c r="G973" s="36">
        <f>IF(F972&gt;0,F973/F972-1,"")</f>
        <v/>
      </c>
      <c r="H973" s="36">
        <f>IF(G973="","",G973-$D$12)</f>
        <v/>
      </c>
    </row>
    <row r="974">
      <c r="B974" s="34" t="inlineStr">
        <is>
          <t>2025-06-11</t>
        </is>
      </c>
      <c r="C974" s="35" t="n">
        <v>462614.368388173</v>
      </c>
      <c r="D974" s="36">
        <f>IF(C973&gt;0,C974/C973-1,"")</f>
        <v/>
      </c>
      <c r="E974" s="36">
        <f>IF(D974="","",D974-$C$12)</f>
        <v/>
      </c>
      <c r="F974" s="35" t="n">
        <v>424817.0565230157</v>
      </c>
      <c r="G974" s="36">
        <f>IF(F973&gt;0,F974/F973-1,"")</f>
        <v/>
      </c>
      <c r="H974" s="36">
        <f>IF(G974="","",G974-$D$12)</f>
        <v/>
      </c>
    </row>
    <row r="975">
      <c r="B975" s="34" t="inlineStr">
        <is>
          <t>2025-06-12</t>
        </is>
      </c>
      <c r="C975" s="35" t="n">
        <v>461202.8548180885</v>
      </c>
      <c r="D975" s="36">
        <f>IF(C974&gt;0,C975/C974-1,"")</f>
        <v/>
      </c>
      <c r="E975" s="36">
        <f>IF(D975="","",D975-$C$12)</f>
        <v/>
      </c>
      <c r="F975" s="35" t="n">
        <v>423718.3960741644</v>
      </c>
      <c r="G975" s="36">
        <f>IF(F974&gt;0,F975/F974-1,"")</f>
        <v/>
      </c>
      <c r="H975" s="36">
        <f>IF(G975="","",G975-$D$12)</f>
        <v/>
      </c>
    </row>
    <row r="976">
      <c r="B976" s="34" t="inlineStr">
        <is>
          <t>2025-06-13</t>
        </is>
      </c>
      <c r="C976" s="35" t="n">
        <v>458829.1200493464</v>
      </c>
      <c r="D976" s="36">
        <f>IF(C975&gt;0,C976/C975-1,"")</f>
        <v/>
      </c>
      <c r="E976" s="36">
        <f>IF(D976="","",D976-$C$12)</f>
        <v/>
      </c>
      <c r="F976" s="35" t="n">
        <v>421361.0292019448</v>
      </c>
      <c r="G976" s="36">
        <f>IF(F975&gt;0,F976/F975-1,"")</f>
        <v/>
      </c>
      <c r="H976" s="36">
        <f>IF(G976="","",G976-$D$12)</f>
        <v/>
      </c>
    </row>
    <row r="977">
      <c r="B977" s="34" t="inlineStr">
        <is>
          <t>2025-06-16</t>
        </is>
      </c>
      <c r="C977" s="35" t="n">
        <v>458948.7145815605</v>
      </c>
      <c r="D977" s="36">
        <f>IF(C976&gt;0,C977/C976-1,"")</f>
        <v/>
      </c>
      <c r="E977" s="36">
        <f>IF(D977="","",D977-$C$12)</f>
        <v/>
      </c>
      <c r="F977" s="35" t="n">
        <v>421154.2862468184</v>
      </c>
      <c r="G977" s="36">
        <f>IF(F976&gt;0,F977/F976-1,"")</f>
        <v/>
      </c>
      <c r="H977" s="36">
        <f>IF(G977="","",G977-$D$12)</f>
        <v/>
      </c>
    </row>
    <row r="978">
      <c r="B978" s="34" t="inlineStr">
        <is>
          <t>2025-06-17</t>
        </is>
      </c>
      <c r="C978" s="35" t="n">
        <v>457317.8429363701</v>
      </c>
      <c r="D978" s="36">
        <f>IF(C977&gt;0,C978/C977-1,"")</f>
        <v/>
      </c>
      <c r="E978" s="36">
        <f>IF(D978="","",D978-$C$12)</f>
        <v/>
      </c>
      <c r="F978" s="35" t="n">
        <v>419598.6399439839</v>
      </c>
      <c r="G978" s="36">
        <f>IF(F977&gt;0,F978/F977-1,"")</f>
        <v/>
      </c>
      <c r="H978" s="36">
        <f>IF(G978="","",G978-$D$12)</f>
        <v/>
      </c>
    </row>
    <row r="979">
      <c r="B979" s="34" t="inlineStr">
        <is>
          <t>2025-06-18</t>
        </is>
      </c>
      <c r="C979" s="35" t="n">
        <v>457279.8015566313</v>
      </c>
      <c r="D979" s="36">
        <f>IF(C978&gt;0,C979/C978-1,"")</f>
        <v/>
      </c>
      <c r="E979" s="36">
        <f>IF(D979="","",D979-$C$12)</f>
        <v/>
      </c>
      <c r="F979" s="35" t="n">
        <v>419313.5136810746</v>
      </c>
      <c r="G979" s="36">
        <f>IF(F978&gt;0,F979/F978-1,"")</f>
        <v/>
      </c>
      <c r="H979" s="36">
        <f>IF(G979="","",G979-$D$12)</f>
        <v/>
      </c>
    </row>
    <row r="980">
      <c r="B980" s="34" t="inlineStr">
        <is>
          <t>2025-06-19</t>
        </is>
      </c>
      <c r="C980" s="35" t="n">
        <v>456467.4066558318</v>
      </c>
      <c r="D980" s="36">
        <f>IF(C979&gt;0,C980/C979-1,"")</f>
        <v/>
      </c>
      <c r="E980" s="36">
        <f>IF(D980="","",D980-$C$12)</f>
        <v/>
      </c>
      <c r="F980" s="35" t="n">
        <v>418452.3336666581</v>
      </c>
      <c r="G980" s="36">
        <f>IF(F979&gt;0,F980/F979-1,"")</f>
        <v/>
      </c>
      <c r="H980" s="36">
        <f>IF(G980="","",G980-$D$12)</f>
        <v/>
      </c>
    </row>
    <row r="981">
      <c r="B981" s="34" t="inlineStr">
        <is>
          <t>2025-06-20</t>
        </is>
      </c>
      <c r="C981" s="35" t="n">
        <v>456101.7571344021</v>
      </c>
      <c r="D981" s="36">
        <f>IF(C980&gt;0,C981/C980-1,"")</f>
        <v/>
      </c>
      <c r="E981" s="36">
        <f>IF(D981="","",D981-$C$12)</f>
        <v/>
      </c>
      <c r="F981" s="35" t="n">
        <v>418355.0213751274</v>
      </c>
      <c r="G981" s="36">
        <f>IF(F980&gt;0,F981/F980-1,"")</f>
        <v/>
      </c>
      <c r="H981" s="36">
        <f>IF(G981="","",G981-$D$12)</f>
        <v/>
      </c>
    </row>
    <row r="982">
      <c r="B982" s="34" t="inlineStr">
        <is>
          <t>2025-06-23</t>
        </is>
      </c>
      <c r="C982" s="35" t="n">
        <v>455557.1116402467</v>
      </c>
      <c r="D982" s="36">
        <f>IF(C981&gt;0,C982/C981-1,"")</f>
        <v/>
      </c>
      <c r="E982" s="36">
        <f>IF(D982="","",D982-$C$12)</f>
        <v/>
      </c>
      <c r="F982" s="35" t="n">
        <v>417787.9339183645</v>
      </c>
      <c r="G982" s="36">
        <f>IF(F981&gt;0,F982/F981-1,"")</f>
        <v/>
      </c>
      <c r="H982" s="36">
        <f>IF(G982="","",G982-$D$12)</f>
        <v/>
      </c>
    </row>
    <row r="983">
      <c r="B983" s="34" t="inlineStr">
        <is>
          <t>2025-06-24</t>
        </is>
      </c>
      <c r="C983" s="35" t="n">
        <v>456472.4798902635</v>
      </c>
      <c r="D983" s="36">
        <f>IF(C982&gt;0,C983/C982-1,"")</f>
        <v/>
      </c>
      <c r="E983" s="36">
        <f>IF(D983="","",D983-$C$12)</f>
        <v/>
      </c>
      <c r="F983" s="35" t="n">
        <v>418830.4756440913</v>
      </c>
      <c r="G983" s="36">
        <f>IF(F982&gt;0,F983/F982-1,"")</f>
        <v/>
      </c>
      <c r="H983" s="36">
        <f>IF(G983="","",G983-$D$12)</f>
        <v/>
      </c>
    </row>
    <row r="984">
      <c r="B984" s="34" t="inlineStr">
        <is>
          <t>2025-06-25</t>
        </is>
      </c>
      <c r="C984" s="35" t="n">
        <v>455444.4481899203</v>
      </c>
      <c r="D984" s="36">
        <f>IF(C983&gt;0,C984/C983-1,"")</f>
        <v/>
      </c>
      <c r="E984" s="36">
        <f>IF(D984="","",D984-$C$12)</f>
        <v/>
      </c>
      <c r="F984" s="35" t="n">
        <v>418153.0236839151</v>
      </c>
      <c r="G984" s="36">
        <f>IF(F983&gt;0,F984/F983-1,"")</f>
        <v/>
      </c>
      <c r="H984" s="36">
        <f>IF(G984="","",G984-$D$12)</f>
        <v/>
      </c>
    </row>
    <row r="985">
      <c r="B985" s="34" t="inlineStr">
        <is>
          <t>2025-06-26</t>
        </is>
      </c>
      <c r="C985" s="35" t="n">
        <v>455000.7365424252</v>
      </c>
      <c r="D985" s="36">
        <f>IF(C984&gt;0,C985/C984-1,"")</f>
        <v/>
      </c>
      <c r="E985" s="36">
        <f>IF(D985="","",D985-$C$12)</f>
        <v/>
      </c>
      <c r="F985" s="35" t="n">
        <v>418004.6156952759</v>
      </c>
      <c r="G985" s="36">
        <f>IF(F984&gt;0,F985/F984-1,"")</f>
        <v/>
      </c>
      <c r="H985" s="36">
        <f>IF(G985="","",G985-$D$12)</f>
        <v/>
      </c>
    </row>
    <row r="986">
      <c r="B986" s="34" t="inlineStr">
        <is>
          <t>2025-06-27</t>
        </is>
      </c>
      <c r="C986" s="35" t="n">
        <v>456099.9955934809</v>
      </c>
      <c r="D986" s="36">
        <f>IF(C985&gt;0,C986/C985-1,"")</f>
        <v/>
      </c>
      <c r="E986" s="36">
        <f>IF(D986="","",D986-$C$12)</f>
        <v/>
      </c>
      <c r="F986" s="35" t="n">
        <v>419159.0797295084</v>
      </c>
      <c r="G986" s="36">
        <f>IF(F985&gt;0,F986/F985-1,"")</f>
        <v/>
      </c>
      <c r="H986" s="36">
        <f>IF(G986="","",G986-$D$12)</f>
        <v/>
      </c>
    </row>
    <row r="987">
      <c r="B987" s="34" t="inlineStr">
        <is>
          <t>2025-06-30</t>
        </is>
      </c>
      <c r="C987" s="35" t="n">
        <v>455349.914114263</v>
      </c>
      <c r="D987" s="36">
        <f>IF(C986&gt;0,C987/C986-1,"")</f>
        <v/>
      </c>
      <c r="E987" s="36">
        <f>IF(D987="","",D987-$C$12)</f>
        <v/>
      </c>
      <c r="F987" s="35" t="n">
        <v>418411.0894609505</v>
      </c>
      <c r="G987" s="36">
        <f>IF(F986&gt;0,F987/F986-1,"")</f>
        <v/>
      </c>
      <c r="H987" s="36">
        <f>IF(G987="","",G987-$D$12)</f>
        <v/>
      </c>
    </row>
    <row r="988">
      <c r="B988" s="34" t="inlineStr">
        <is>
          <t>2025-07-01</t>
        </is>
      </c>
      <c r="C988" s="35" t="n">
        <v>455126.4775784853</v>
      </c>
      <c r="D988" s="36">
        <f>IF(C987&gt;0,C988/C987-1,"")</f>
        <v/>
      </c>
      <c r="E988" s="36">
        <f>IF(D988="","",D988-$C$12)</f>
        <v/>
      </c>
      <c r="F988" s="35" t="n">
        <v>418470.7344448878</v>
      </c>
      <c r="G988" s="36">
        <f>IF(F987&gt;0,F988/F987-1,"")</f>
        <v/>
      </c>
      <c r="H988" s="36">
        <f>IF(G988="","",G988-$D$12)</f>
        <v/>
      </c>
    </row>
    <row r="989">
      <c r="B989" s="34" t="inlineStr">
        <is>
          <t>2025-07-02</t>
        </is>
      </c>
      <c r="C989" s="35" t="n">
        <v>455352.1438579766</v>
      </c>
      <c r="D989" s="36">
        <f>IF(C988&gt;0,C989/C988-1,"")</f>
        <v/>
      </c>
      <c r="E989" s="36">
        <f>IF(D989="","",D989-$C$12)</f>
        <v/>
      </c>
      <c r="F989" s="35" t="n">
        <v>418876.1242320513</v>
      </c>
      <c r="G989" s="36">
        <f>IF(F988&gt;0,F989/F988-1,"")</f>
        <v/>
      </c>
      <c r="H989" s="36">
        <f>IF(G989="","",G989-$D$12)</f>
        <v/>
      </c>
    </row>
    <row r="990">
      <c r="B990" s="34" t="inlineStr">
        <is>
          <t>2025-07-03</t>
        </is>
      </c>
      <c r="C990" s="35" t="n">
        <v>457221.8643380108</v>
      </c>
      <c r="D990" s="36">
        <f>IF(C989&gt;0,C990/C989-1,"")</f>
        <v/>
      </c>
      <c r="E990" s="36">
        <f>IF(D990="","",D990-$C$12)</f>
        <v/>
      </c>
      <c r="F990" s="35" t="n">
        <v>420430.1166735617</v>
      </c>
      <c r="G990" s="36">
        <f>IF(F989&gt;0,F990/F989-1,"")</f>
        <v/>
      </c>
      <c r="H990" s="36">
        <f>IF(G990="","",G990-$D$12)</f>
        <v/>
      </c>
    </row>
    <row r="991">
      <c r="B991" s="34" t="inlineStr">
        <is>
          <t>2025-07-04</t>
        </is>
      </c>
      <c r="C991" s="35" t="n">
        <v>456925.2061572354</v>
      </c>
      <c r="D991" s="36">
        <f>IF(C990&gt;0,C991/C990-1,"")</f>
        <v/>
      </c>
      <c r="E991" s="36">
        <f>IF(D991="","",D991-$C$12)</f>
        <v/>
      </c>
      <c r="F991" s="35" t="n">
        <v>420076.4102606722</v>
      </c>
      <c r="G991" s="36">
        <f>IF(F990&gt;0,F991/F990-1,"")</f>
        <v/>
      </c>
      <c r="H991" s="36">
        <f>IF(G991="","",G991-$D$12)</f>
        <v/>
      </c>
    </row>
    <row r="992">
      <c r="B992" s="34" t="inlineStr">
        <is>
          <t>2025-07-07</t>
        </is>
      </c>
      <c r="C992" s="35" t="n">
        <v>457508.9023732521</v>
      </c>
      <c r="D992" s="36">
        <f>IF(C991&gt;0,C992/C991-1,"")</f>
        <v/>
      </c>
      <c r="E992" s="36">
        <f>IF(D992="","",D992-$C$12)</f>
        <v/>
      </c>
      <c r="F992" s="35" t="n">
        <v>419979.6377212689</v>
      </c>
      <c r="G992" s="36">
        <f>IF(F991&gt;0,F992/F991-1,"")</f>
        <v/>
      </c>
      <c r="H992" s="36">
        <f>IF(G992="","",G992-$D$12)</f>
        <v/>
      </c>
    </row>
    <row r="993">
      <c r="B993" s="34" t="inlineStr">
        <is>
          <t>2025-07-08</t>
        </is>
      </c>
      <c r="C993" s="35" t="n">
        <v>457668.5004008973</v>
      </c>
      <c r="D993" s="36">
        <f>IF(C992&gt;0,C993/C992-1,"")</f>
        <v/>
      </c>
      <c r="E993" s="36">
        <f>IF(D993="","",D993-$C$12)</f>
        <v/>
      </c>
      <c r="F993" s="35" t="n">
        <v>420260.8435577822</v>
      </c>
      <c r="G993" s="36">
        <f>IF(F992&gt;0,F993/F992-1,"")</f>
        <v/>
      </c>
      <c r="H993" s="36">
        <f>IF(G993="","",G993-$D$12)</f>
        <v/>
      </c>
    </row>
    <row r="994">
      <c r="B994" s="34" t="inlineStr">
        <is>
          <t>2025-07-09</t>
        </is>
      </c>
      <c r="C994" s="35" t="n">
        <v>459240.6407428592</v>
      </c>
      <c r="D994" s="36">
        <f>IF(C993&gt;0,C994/C993-1,"")</f>
        <v/>
      </c>
      <c r="E994" s="36">
        <f>IF(D994="","",D994-$C$12)</f>
        <v/>
      </c>
      <c r="F994" s="35" t="n">
        <v>421504.430476198</v>
      </c>
      <c r="G994" s="36">
        <f>IF(F993&gt;0,F994/F993-1,"")</f>
        <v/>
      </c>
      <c r="H994" s="36">
        <f>IF(G994="","",G994-$D$12)</f>
        <v/>
      </c>
    </row>
    <row r="995">
      <c r="B995" s="34" t="inlineStr">
        <is>
          <t>2025-07-10</t>
        </is>
      </c>
      <c r="C995" s="35" t="n">
        <v>460671.0188881321</v>
      </c>
      <c r="D995" s="36">
        <f>IF(C994&gt;0,C995/C994-1,"")</f>
        <v/>
      </c>
      <c r="E995" s="36">
        <f>IF(D995="","",D995-$C$12)</f>
        <v/>
      </c>
      <c r="F995" s="35" t="n">
        <v>422919.9945090283</v>
      </c>
      <c r="G995" s="36">
        <f>IF(F994&gt;0,F995/F994-1,"")</f>
        <v/>
      </c>
      <c r="H995" s="36">
        <f>IF(G995="","",G995-$D$12)</f>
        <v/>
      </c>
    </row>
    <row r="996">
      <c r="B996" s="34" t="inlineStr">
        <is>
          <t>2025-07-11</t>
        </is>
      </c>
      <c r="C996" s="35" t="n">
        <v>459552.5249486628</v>
      </c>
      <c r="D996" s="36">
        <f>IF(C995&gt;0,C996/C995-1,"")</f>
        <v/>
      </c>
      <c r="E996" s="36">
        <f>IF(D996="","",D996-$C$12)</f>
        <v/>
      </c>
      <c r="F996" s="35" t="n">
        <v>421887.2192691772</v>
      </c>
      <c r="G996" s="36">
        <f>IF(F995&gt;0,F996/F995-1,"")</f>
        <v/>
      </c>
      <c r="H996" s="36">
        <f>IF(G996="","",G996-$D$12)</f>
        <v/>
      </c>
    </row>
    <row r="997">
      <c r="B997" s="34" t="inlineStr">
        <is>
          <t>2025-07-14</t>
        </is>
      </c>
      <c r="C997" s="35" t="n">
        <v>461082.2150104425</v>
      </c>
      <c r="D997" s="36">
        <f>IF(C996&gt;0,C997/C996-1,"")</f>
        <v/>
      </c>
      <c r="E997" s="36">
        <f>IF(D997="","",D997-$C$12)</f>
        <v/>
      </c>
      <c r="F997" s="35" t="n">
        <v>423094.1866377938</v>
      </c>
      <c r="G997" s="36">
        <f>IF(F996&gt;0,F997/F996-1,"")</f>
        <v/>
      </c>
      <c r="H997" s="36">
        <f>IF(G997="","",G997-$D$12)</f>
        <v/>
      </c>
    </row>
    <row r="998">
      <c r="B998" s="34" t="inlineStr">
        <is>
          <t>2025-07-15</t>
        </is>
      </c>
      <c r="C998" s="35" t="n">
        <v>458709.5946312264</v>
      </c>
      <c r="D998" s="36">
        <f>IF(C997&gt;0,C998/C997-1,"")</f>
        <v/>
      </c>
      <c r="E998" s="36">
        <f>IF(D998="","",D998-$C$12)</f>
        <v/>
      </c>
      <c r="F998" s="35" t="n">
        <v>421385.5296625345</v>
      </c>
      <c r="G998" s="36">
        <f>IF(F997&gt;0,F998/F997-1,"")</f>
        <v/>
      </c>
      <c r="H998" s="36">
        <f>IF(G998="","",G998-$D$12)</f>
        <v/>
      </c>
    </row>
    <row r="999">
      <c r="B999" s="34" t="inlineStr">
        <is>
          <t>2025-07-16</t>
        </is>
      </c>
      <c r="C999" s="35" t="n">
        <v>460208.6706367268</v>
      </c>
      <c r="D999" s="36">
        <f>IF(C998&gt;0,C999/C998-1,"")</f>
        <v/>
      </c>
      <c r="E999" s="36">
        <f>IF(D999="","",D999-$C$12)</f>
        <v/>
      </c>
      <c r="F999" s="35" t="n">
        <v>422732.1996830063</v>
      </c>
      <c r="G999" s="36">
        <f>IF(F998&gt;0,F999/F998-1,"")</f>
        <v/>
      </c>
      <c r="H999" s="36">
        <f>IF(G999="","",G999-$D$12)</f>
        <v/>
      </c>
    </row>
    <row r="1000">
      <c r="B1000" s="34" t="inlineStr">
        <is>
          <t>2025-07-17</t>
        </is>
      </c>
      <c r="C1000" s="35" t="n">
        <v>461516.1060752303</v>
      </c>
      <c r="D1000" s="36">
        <f>IF(C999&gt;0,C1000/C999-1,"")</f>
        <v/>
      </c>
      <c r="E1000" s="36">
        <f>IF(D1000="","",D1000-$C$12)</f>
        <v/>
      </c>
      <c r="F1000" s="35" t="n">
        <v>424400.729395651</v>
      </c>
      <c r="G1000" s="36">
        <f>IF(F999&gt;0,F1000/F999-1,"")</f>
        <v/>
      </c>
      <c r="H1000" s="36">
        <f>IF(G1000="","",G1000-$D$12)</f>
        <v/>
      </c>
    </row>
    <row r="1001">
      <c r="B1001" s="34" t="inlineStr">
        <is>
          <t>2025-07-18</t>
        </is>
      </c>
      <c r="C1001" s="35" t="n">
        <v>462212.9651839174</v>
      </c>
      <c r="D1001" s="36">
        <f>IF(C1000&gt;0,C1001/C1000-1,"")</f>
        <v/>
      </c>
      <c r="E1001" s="36">
        <f>IF(D1001="","",D1001-$C$12)</f>
        <v/>
      </c>
      <c r="F1001" s="35" t="n">
        <v>424962.5054179683</v>
      </c>
      <c r="G1001" s="36">
        <f>IF(F1000&gt;0,F1001/F1000-1,"")</f>
        <v/>
      </c>
      <c r="H1001" s="36">
        <f>IF(G1001="","",G1001-$D$12)</f>
        <v/>
      </c>
    </row>
    <row r="1002">
      <c r="B1002" s="34" t="inlineStr">
        <is>
          <t>2025-07-21</t>
        </is>
      </c>
      <c r="C1002" s="35" t="n">
        <v>461985.6070658937</v>
      </c>
      <c r="D1002" s="36">
        <f>IF(C1001&gt;0,C1002/C1001-1,"")</f>
        <v/>
      </c>
      <c r="E1002" s="36">
        <f>IF(D1002="","",D1002-$C$12)</f>
        <v/>
      </c>
      <c r="F1002" s="35" t="n">
        <v>424597.8065850265</v>
      </c>
      <c r="G1002" s="36">
        <f>IF(F1001&gt;0,F1002/F1001-1,"")</f>
        <v/>
      </c>
      <c r="H1002" s="36">
        <f>IF(G1002="","",G1002-$D$12)</f>
        <v/>
      </c>
    </row>
    <row r="1003">
      <c r="B1003" s="34" t="inlineStr">
        <is>
          <t>2025-07-22</t>
        </is>
      </c>
      <c r="C1003" s="35" t="n">
        <v>461561.990211663</v>
      </c>
      <c r="D1003" s="36">
        <f>IF(C1002&gt;0,C1003/C1002-1,"")</f>
        <v/>
      </c>
      <c r="E1003" s="36">
        <f>IF(D1003="","",D1003-$C$12)</f>
        <v/>
      </c>
      <c r="F1003" s="35" t="n">
        <v>423839.8116652648</v>
      </c>
      <c r="G1003" s="36">
        <f>IF(F1002&gt;0,F1003/F1002-1,"")</f>
        <v/>
      </c>
      <c r="H1003" s="36">
        <f>IF(G1003="","",G1003-$D$12)</f>
        <v/>
      </c>
    </row>
    <row r="1004">
      <c r="B1004" s="34" t="inlineStr">
        <is>
          <t>2025-07-23</t>
        </is>
      </c>
      <c r="C1004" s="35" t="n">
        <v>464461.3836797267</v>
      </c>
      <c r="D1004" s="36">
        <f>IF(C1003&gt;0,C1004/C1003-1,"")</f>
        <v/>
      </c>
      <c r="E1004" s="36">
        <f>IF(D1004="","",D1004-$C$12)</f>
        <v/>
      </c>
      <c r="F1004" s="35" t="n">
        <v>426091.7869595561</v>
      </c>
      <c r="G1004" s="36">
        <f>IF(F1003&gt;0,F1004/F1003-1,"")</f>
        <v/>
      </c>
      <c r="H1004" s="36">
        <f>IF(G1004="","",G1004-$D$12)</f>
        <v/>
      </c>
    </row>
    <row r="1005">
      <c r="B1005" s="34" t="inlineStr">
        <is>
          <t>2025-07-24</t>
        </is>
      </c>
      <c r="C1005" s="35" t="n">
        <v>463327.6698025765</v>
      </c>
      <c r="D1005" s="36">
        <f>IF(C1004&gt;0,C1005/C1004-1,"")</f>
        <v/>
      </c>
      <c r="E1005" s="36">
        <f>IF(D1005="","",D1005-$C$12)</f>
        <v/>
      </c>
      <c r="F1005" s="35" t="n">
        <v>424829.5406616475</v>
      </c>
      <c r="G1005" s="36">
        <f>IF(F1004&gt;0,F1005/F1004-1,"")</f>
        <v/>
      </c>
      <c r="H1005" s="36">
        <f>IF(G1005="","",G1005-$D$12)</f>
        <v/>
      </c>
    </row>
    <row r="1006">
      <c r="B1006" s="34" t="inlineStr">
        <is>
          <t>2025-07-25</t>
        </is>
      </c>
      <c r="C1006" s="35" t="n">
        <v>462436.9720286041</v>
      </c>
      <c r="D1006" s="36">
        <f>IF(C1005&gt;0,C1006/C1005-1,"")</f>
        <v/>
      </c>
      <c r="E1006" s="36">
        <f>IF(D1006="","",D1006-$C$12)</f>
        <v/>
      </c>
      <c r="F1006" s="35" t="n">
        <v>424127.189047474</v>
      </c>
      <c r="G1006" s="36">
        <f>IF(F1005&gt;0,F1006/F1005-1,"")</f>
        <v/>
      </c>
      <c r="H1006" s="36">
        <f>IF(G1006="","",G1006-$D$12)</f>
        <v/>
      </c>
    </row>
    <row r="1007">
      <c r="B1007" s="34" t="inlineStr">
        <is>
          <t>2025-07-28</t>
        </is>
      </c>
      <c r="C1007" s="35" t="n">
        <v>462317.4842591314</v>
      </c>
      <c r="D1007" s="36">
        <f>IF(C1006&gt;0,C1007/C1006-1,"")</f>
        <v/>
      </c>
      <c r="E1007" s="36">
        <f>IF(D1007="","",D1007-$C$12)</f>
        <v/>
      </c>
      <c r="F1007" s="35" t="n">
        <v>423881.7493847632</v>
      </c>
      <c r="G1007" s="36">
        <f>IF(F1006&gt;0,F1007/F1006-1,"")</f>
        <v/>
      </c>
      <c r="H1007" s="36">
        <f>IF(G1007="","",G1007-$D$12)</f>
        <v/>
      </c>
    </row>
    <row r="1008">
      <c r="B1008" s="34" t="inlineStr">
        <is>
          <t>2025-07-29</t>
        </is>
      </c>
      <c r="C1008" s="35" t="n">
        <v>461470.0355738669</v>
      </c>
      <c r="D1008" s="36">
        <f>IF(C1007&gt;0,C1008/C1007-1,"")</f>
        <v/>
      </c>
      <c r="E1008" s="36">
        <f>IF(D1008="","",D1008-$C$12)</f>
        <v/>
      </c>
      <c r="F1008" s="35" t="n">
        <v>423809.6109975956</v>
      </c>
      <c r="G1008" s="36">
        <f>IF(F1007&gt;0,F1008/F1007-1,"")</f>
        <v/>
      </c>
      <c r="H1008" s="36">
        <f>IF(G1008="","",G1008-$D$12)</f>
        <v/>
      </c>
    </row>
    <row r="1009">
      <c r="B1009" s="34" t="inlineStr">
        <is>
          <t>2025-07-30</t>
        </is>
      </c>
      <c r="C1009" s="35" t="n">
        <v>460759.5487350093</v>
      </c>
      <c r="D1009" s="36">
        <f>IF(C1008&gt;0,C1009/C1008-1,"")</f>
        <v/>
      </c>
      <c r="E1009" s="36">
        <f>IF(D1009="","",D1009-$C$12)</f>
        <v/>
      </c>
      <c r="F1009" s="35" t="n">
        <v>423465.5153434305</v>
      </c>
      <c r="G1009" s="36">
        <f>IF(F1008&gt;0,F1009/F1008-1,"")</f>
        <v/>
      </c>
      <c r="H1009" s="36">
        <f>IF(G1009="","",G1009-$D$12)</f>
        <v/>
      </c>
    </row>
    <row r="1010">
      <c r="B1010" s="34" t="inlineStr">
        <is>
          <t>2025-07-31</t>
        </is>
      </c>
      <c r="C1010" s="35" t="n">
        <v>459888.1485669088</v>
      </c>
      <c r="D1010" s="36">
        <f>IF(C1009&gt;0,C1010/C1009-1,"")</f>
        <v/>
      </c>
      <c r="E1010" s="36">
        <f>IF(D1010="","",D1010-$C$12)</f>
        <v/>
      </c>
      <c r="F1010" s="35" t="n">
        <v>422741.8360996954</v>
      </c>
      <c r="G1010" s="36">
        <f>IF(F1009&gt;0,F1010/F1009-1,"")</f>
        <v/>
      </c>
      <c r="H1010" s="36">
        <f>IF(G1010="","",G1010-$D$12)</f>
        <v/>
      </c>
    </row>
    <row r="1011">
      <c r="B1011" s="34" t="inlineStr">
        <is>
          <t>2025-08-01</t>
        </is>
      </c>
      <c r="C1011" s="35" t="n">
        <v>459120.3084345179</v>
      </c>
      <c r="D1011" s="36">
        <f>IF(C1010&gt;0,C1011/C1010-1,"")</f>
        <v/>
      </c>
      <c r="E1011" s="36">
        <f>IF(D1011="","",D1011-$C$12)</f>
        <v/>
      </c>
      <c r="F1011" s="35" t="n">
        <v>422167.7631069215</v>
      </c>
      <c r="G1011" s="36">
        <f>IF(F1010&gt;0,F1011/F1010-1,"")</f>
        <v/>
      </c>
      <c r="H1011" s="36">
        <f>IF(G1011="","",G1011-$D$12)</f>
        <v/>
      </c>
    </row>
    <row r="1012">
      <c r="B1012" s="34" t="inlineStr">
        <is>
          <t>2025-08-04</t>
        </is>
      </c>
      <c r="C1012" s="35" t="n">
        <v>461318.4193585827</v>
      </c>
      <c r="D1012" s="36">
        <f>IF(C1011&gt;0,C1012/C1011-1,"")</f>
        <v/>
      </c>
      <c r="E1012" s="36">
        <f>IF(D1012="","",D1012-$C$12)</f>
        <v/>
      </c>
      <c r="F1012" s="35" t="n">
        <v>423643.0815237848</v>
      </c>
      <c r="G1012" s="36">
        <f>IF(F1011&gt;0,F1012/F1011-1,"")</f>
        <v/>
      </c>
      <c r="H1012" s="36">
        <f>IF(G1012="","",G1012-$D$12)</f>
        <v/>
      </c>
    </row>
    <row r="1013">
      <c r="B1013" s="34" t="inlineStr">
        <is>
          <t>2025-08-05</t>
        </is>
      </c>
      <c r="C1013" s="35" t="n">
        <v>462617.1445369637</v>
      </c>
      <c r="D1013" s="36">
        <f>IF(C1012&gt;0,C1013/C1012-1,"")</f>
        <v/>
      </c>
      <c r="E1013" s="36">
        <f>IF(D1013="","",D1013-$C$12)</f>
        <v/>
      </c>
      <c r="F1013" s="35" t="n">
        <v>424702.7399023451</v>
      </c>
      <c r="G1013" s="36">
        <f>IF(F1012&gt;0,F1013/F1012-1,"")</f>
        <v/>
      </c>
      <c r="H1013" s="36">
        <f>IF(G1013="","",G1013-$D$12)</f>
        <v/>
      </c>
    </row>
    <row r="1014">
      <c r="B1014" s="34" t="inlineStr">
        <is>
          <t>2025-08-06</t>
        </is>
      </c>
      <c r="C1014" s="35" t="n">
        <v>463615.2581122953</v>
      </c>
      <c r="D1014" s="36">
        <f>IF(C1013&gt;0,C1014/C1013-1,"")</f>
        <v/>
      </c>
      <c r="E1014" s="36">
        <f>IF(D1014="","",D1014-$C$12)</f>
        <v/>
      </c>
      <c r="F1014" s="35" t="n">
        <v>425091.3138068864</v>
      </c>
      <c r="G1014" s="36">
        <f>IF(F1013&gt;0,F1014/F1013-1,"")</f>
        <v/>
      </c>
      <c r="H1014" s="36">
        <f>IF(G1014="","",G1014-$D$12)</f>
        <v/>
      </c>
    </row>
    <row r="1015">
      <c r="B1015" s="34" t="inlineStr">
        <is>
          <t>2025-08-07</t>
        </is>
      </c>
      <c r="C1015" s="35" t="n">
        <v>465577.3738709949</v>
      </c>
      <c r="D1015" s="36">
        <f>IF(C1014&gt;0,C1015/C1014-1,"")</f>
        <v/>
      </c>
      <c r="E1015" s="36">
        <f>IF(D1015="","",D1015-$C$12)</f>
        <v/>
      </c>
      <c r="F1015" s="35" t="n">
        <v>426911.8855403954</v>
      </c>
      <c r="G1015" s="36">
        <f>IF(F1014&gt;0,F1015/F1014-1,"")</f>
        <v/>
      </c>
      <c r="H1015" s="36">
        <f>IF(G1015="","",G1015-$D$12)</f>
        <v/>
      </c>
    </row>
    <row r="1016">
      <c r="B1016" s="34" t="inlineStr">
        <is>
          <t>2025-08-08</t>
        </is>
      </c>
      <c r="C1016" s="35" t="n">
        <v>465650.530975099</v>
      </c>
      <c r="D1016" s="36">
        <f>IF(C1015&gt;0,C1016/C1015-1,"")</f>
        <v/>
      </c>
      <c r="E1016" s="36">
        <f>IF(D1016="","",D1016-$C$12)</f>
        <v/>
      </c>
      <c r="F1016" s="35" t="n">
        <v>426672.2330162987</v>
      </c>
      <c r="G1016" s="36">
        <f>IF(F1015&gt;0,F1016/F1015-1,"")</f>
        <v/>
      </c>
      <c r="H1016" s="36">
        <f>IF(G1016="","",G1016-$D$12)</f>
        <v/>
      </c>
    </row>
    <row r="1017">
      <c r="B1017" s="34" t="inlineStr">
        <is>
          <t>2025-08-11</t>
        </is>
      </c>
      <c r="C1017" s="35" t="n">
        <v>466331.8497672605</v>
      </c>
      <c r="D1017" s="36">
        <f>IF(C1016&gt;0,C1017/C1016-1,"")</f>
        <v/>
      </c>
      <c r="E1017" s="36">
        <f>IF(D1017="","",D1017-$C$12)</f>
        <v/>
      </c>
      <c r="F1017" s="35" t="n">
        <v>427290.7806167543</v>
      </c>
      <c r="G1017" s="36">
        <f>IF(F1016&gt;0,F1017/F1016-1,"")</f>
        <v/>
      </c>
      <c r="H1017" s="36">
        <f>IF(G1017="","",G1017-$D$12)</f>
        <v/>
      </c>
    </row>
    <row r="1018">
      <c r="B1018" s="34" t="inlineStr">
        <is>
          <t>2025-08-12</t>
        </is>
      </c>
      <c r="C1018" s="35" t="n">
        <v>466376.7859607273</v>
      </c>
      <c r="D1018" s="36">
        <f>IF(C1017&gt;0,C1018/C1017-1,"")</f>
        <v/>
      </c>
      <c r="E1018" s="36">
        <f>IF(D1018="","",D1018-$C$12)</f>
        <v/>
      </c>
      <c r="F1018" s="35" t="n">
        <v>427502.083027715</v>
      </c>
      <c r="G1018" s="36">
        <f>IF(F1017&gt;0,F1018/F1017-1,"")</f>
        <v/>
      </c>
      <c r="H1018" s="36">
        <f>IF(G1018="","",G1018-$D$12)</f>
        <v/>
      </c>
    </row>
    <row r="1019">
      <c r="B1019" s="34" t="inlineStr">
        <is>
          <t>2025-08-13</t>
        </is>
      </c>
      <c r="C1019" s="35" t="n">
        <v>467987.3261835109</v>
      </c>
      <c r="D1019" s="36">
        <f>IF(C1018&gt;0,C1019/C1018-1,"")</f>
        <v/>
      </c>
      <c r="E1019" s="36">
        <f>IF(D1019="","",D1019-$C$12)</f>
        <v/>
      </c>
      <c r="F1019" s="35" t="n">
        <v>428856.5231612593</v>
      </c>
      <c r="G1019" s="36">
        <f>IF(F1018&gt;0,F1019/F1018-1,"")</f>
        <v/>
      </c>
      <c r="H1019" s="36">
        <f>IF(G1019="","",G1019-$D$12)</f>
        <v/>
      </c>
    </row>
    <row r="1020">
      <c r="B1020" s="34" t="inlineStr">
        <is>
          <t>2025-08-14</t>
        </is>
      </c>
      <c r="C1020" s="35" t="n">
        <v>467486.0493246631</v>
      </c>
      <c r="D1020" s="36">
        <f>IF(C1019&gt;0,C1020/C1019-1,"")</f>
        <v/>
      </c>
      <c r="E1020" s="36">
        <f>IF(D1020="","",D1020-$C$12)</f>
        <v/>
      </c>
      <c r="F1020" s="35" t="n">
        <v>428434.2142954046</v>
      </c>
      <c r="G1020" s="36">
        <f>IF(F1019&gt;0,F1020/F1019-1,"")</f>
        <v/>
      </c>
      <c r="H1020" s="36">
        <f>IF(G1020="","",G1020-$D$12)</f>
        <v/>
      </c>
    </row>
    <row r="1021">
      <c r="B1021" s="34" t="inlineStr">
        <is>
          <t>2025-08-15</t>
        </is>
      </c>
      <c r="C1021" s="35" t="n">
        <v>468125.9888753356</v>
      </c>
      <c r="D1021" s="36">
        <f>IF(C1020&gt;0,C1021/C1020-1,"")</f>
        <v/>
      </c>
      <c r="E1021" s="36">
        <f>IF(D1021="","",D1021-$C$12)</f>
        <v/>
      </c>
      <c r="F1021" s="35" t="n">
        <v>428940.1150731334</v>
      </c>
      <c r="G1021" s="36">
        <f>IF(F1020&gt;0,F1021/F1020-1,"")</f>
        <v/>
      </c>
      <c r="H1021" s="36">
        <f>IF(G1021="","",G1021-$D$12)</f>
        <v/>
      </c>
    </row>
    <row r="1022">
      <c r="B1022" s="34" t="inlineStr">
        <is>
          <t>2025-08-18</t>
        </is>
      </c>
      <c r="C1022" s="35" t="n">
        <v>467976.5382998394</v>
      </c>
      <c r="D1022" s="36">
        <f>IF(C1021&gt;0,C1022/C1021-1,"")</f>
        <v/>
      </c>
      <c r="E1022" s="36">
        <f>IF(D1022="","",D1022-$C$12)</f>
        <v/>
      </c>
      <c r="F1022" s="35" t="n">
        <v>428966.0838661463</v>
      </c>
      <c r="G1022" s="36">
        <f>IF(F1021&gt;0,F1022/F1021-1,"")</f>
        <v/>
      </c>
      <c r="H1022" s="36">
        <f>IF(G1022="","",G1022-$D$12)</f>
        <v/>
      </c>
    </row>
    <row r="1023">
      <c r="B1023" s="34" t="inlineStr">
        <is>
          <t>2025-08-19</t>
        </is>
      </c>
      <c r="C1023" s="35" t="n">
        <v>468546.7508536244</v>
      </c>
      <c r="D1023" s="36">
        <f>IF(C1022&gt;0,C1023/C1022-1,"")</f>
        <v/>
      </c>
      <c r="E1023" s="36">
        <f>IF(D1023="","",D1023-$C$12)</f>
        <v/>
      </c>
      <c r="F1023" s="35" t="n">
        <v>429915.4382276209</v>
      </c>
      <c r="G1023" s="36">
        <f>IF(F1022&gt;0,F1023/F1022-1,"")</f>
        <v/>
      </c>
      <c r="H1023" s="36">
        <f>IF(G1023="","",G1023-$D$12)</f>
        <v/>
      </c>
    </row>
    <row r="1024">
      <c r="B1024" s="34" t="inlineStr">
        <is>
          <t>2025-08-20</t>
        </is>
      </c>
      <c r="C1024" s="35" t="n">
        <v>470387.0107535647</v>
      </c>
      <c r="D1024" s="36">
        <f>IF(C1023&gt;0,C1024/C1023-1,"")</f>
        <v/>
      </c>
      <c r="E1024" s="36">
        <f>IF(D1024="","",D1024-$C$12)</f>
        <v/>
      </c>
      <c r="F1024" s="35" t="n">
        <v>430938.3054272453</v>
      </c>
      <c r="G1024" s="36">
        <f>IF(F1023&gt;0,F1024/F1023-1,"")</f>
        <v/>
      </c>
      <c r="H1024" s="36">
        <f>IF(G1024="","",G1024-$D$12)</f>
        <v/>
      </c>
    </row>
    <row r="1025">
      <c r="B1025" s="34" t="inlineStr">
        <is>
          <t>2025-08-21</t>
        </is>
      </c>
      <c r="C1025" s="35" t="n">
        <v>471171.1024152669</v>
      </c>
      <c r="D1025" s="36">
        <f>IF(C1024&gt;0,C1025/C1024-1,"")</f>
        <v/>
      </c>
      <c r="E1025" s="36">
        <f>IF(D1025="","",D1025-$C$12)</f>
        <v/>
      </c>
      <c r="F1025" s="35" t="n">
        <v>431722.7350287353</v>
      </c>
      <c r="G1025" s="36">
        <f>IF(F1024&gt;0,F1025/F1024-1,"")</f>
        <v/>
      </c>
      <c r="H1025" s="36">
        <f>IF(G1025="","",G1025-$D$12)</f>
        <v/>
      </c>
    </row>
    <row r="1026">
      <c r="B1026" s="34" t="inlineStr">
        <is>
          <t>2025-08-22</t>
        </is>
      </c>
      <c r="C1026" s="35" t="n">
        <v>471506.0403543572</v>
      </c>
      <c r="D1026" s="36">
        <f>IF(C1025&gt;0,C1026/C1025-1,"")</f>
        <v/>
      </c>
      <c r="E1026" s="36">
        <f>IF(D1026="","",D1026-$C$12)</f>
        <v/>
      </c>
      <c r="F1026" s="35" t="n">
        <v>432036.5970295022</v>
      </c>
      <c r="G1026" s="36">
        <f>IF(F1025&gt;0,F1026/F1025-1,"")</f>
        <v/>
      </c>
      <c r="H1026" s="36">
        <f>IF(G1026="","",G1026-$D$12)</f>
        <v/>
      </c>
    </row>
    <row r="1027">
      <c r="B1027" s="34" t="inlineStr">
        <is>
          <t>2025-08-25</t>
        </is>
      </c>
      <c r="C1027" s="35" t="n">
        <v>470215.2157618965</v>
      </c>
      <c r="D1027" s="36">
        <f>IF(C1026&gt;0,C1027/C1026-1,"")</f>
        <v/>
      </c>
      <c r="E1027" s="36">
        <f>IF(D1027="","",D1027-$C$12)</f>
        <v/>
      </c>
      <c r="F1027" s="35" t="n">
        <v>430655.9012007819</v>
      </c>
      <c r="G1027" s="36">
        <f>IF(F1026&gt;0,F1027/F1026-1,"")</f>
        <v/>
      </c>
      <c r="H1027" s="36">
        <f>IF(G1027="","",G1027-$D$12)</f>
        <v/>
      </c>
    </row>
    <row r="1028">
      <c r="B1028" s="34" t="inlineStr">
        <is>
          <t>2025-08-26</t>
        </is>
      </c>
      <c r="C1028" s="35" t="n">
        <v>468408.7687955628</v>
      </c>
      <c r="D1028" s="36">
        <f>IF(C1027&gt;0,C1028/C1027-1,"")</f>
        <v/>
      </c>
      <c r="E1028" s="36">
        <f>IF(D1028="","",D1028-$C$12)</f>
        <v/>
      </c>
      <c r="F1028" s="35" t="n">
        <v>429220.0851768967</v>
      </c>
      <c r="G1028" s="36">
        <f>IF(F1027&gt;0,F1028/F1027-1,"")</f>
        <v/>
      </c>
      <c r="H1028" s="36">
        <f>IF(G1028="","",G1028-$D$12)</f>
        <v/>
      </c>
    </row>
    <row r="1029">
      <c r="B1029" s="34" t="inlineStr">
        <is>
          <t>2025-08-27</t>
        </is>
      </c>
      <c r="C1029" s="35" t="n">
        <v>468611.1158142989</v>
      </c>
      <c r="D1029" s="36">
        <f>IF(C1028&gt;0,C1029/C1028-1,"")</f>
        <v/>
      </c>
      <c r="E1029" s="36">
        <f>IF(D1029="","",D1029-$C$12)</f>
        <v/>
      </c>
      <c r="F1029" s="35" t="n">
        <v>429623.0421062576</v>
      </c>
      <c r="G1029" s="36">
        <f>IF(F1028&gt;0,F1029/F1028-1,"")</f>
        <v/>
      </c>
      <c r="H1029" s="36">
        <f>IF(G1029="","",G1029-$D$12)</f>
        <v/>
      </c>
    </row>
    <row r="1030">
      <c r="B1030" s="34" t="inlineStr">
        <is>
          <t>2025-08-28</t>
        </is>
      </c>
      <c r="C1030" s="35" t="n">
        <v>468376.3772667321</v>
      </c>
      <c r="D1030" s="36">
        <f>IF(C1029&gt;0,C1030/C1029-1,"")</f>
        <v/>
      </c>
      <c r="E1030" s="36">
        <f>IF(D1030="","",D1030-$C$12)</f>
        <v/>
      </c>
      <c r="F1030" s="35" t="n">
        <v>429417.2296119934</v>
      </c>
      <c r="G1030" s="36">
        <f>IF(F1029&gt;0,F1030/F1029-1,"")</f>
        <v/>
      </c>
      <c r="H1030" s="36">
        <f>IF(G1030="","",G1030-$D$12)</f>
        <v/>
      </c>
    </row>
    <row r="1031">
      <c r="B1031" s="34" t="inlineStr">
        <is>
          <t>2025-08-29</t>
        </is>
      </c>
      <c r="C1031" s="35" t="n">
        <v>468294.1184864927</v>
      </c>
      <c r="D1031" s="36">
        <f>IF(C1030&gt;0,C1031/C1030-1,"")</f>
        <v/>
      </c>
      <c r="E1031" s="36">
        <f>IF(D1031="","",D1031-$C$12)</f>
        <v/>
      </c>
      <c r="F1031" s="35" t="n">
        <v>429189.5319300004</v>
      </c>
      <c r="G1031" s="36">
        <f>IF(F1030&gt;0,F1031/F1030-1,"")</f>
        <v/>
      </c>
      <c r="H1031" s="36">
        <f>IF(G1031="","",G1031-$D$12)</f>
        <v/>
      </c>
    </row>
    <row r="1032">
      <c r="B1032" s="34" t="inlineStr">
        <is>
          <t>2025-09-01</t>
        </is>
      </c>
      <c r="C1032" s="35" t="n">
        <v>467541.4986462814</v>
      </c>
      <c r="D1032" s="36">
        <f>IF(C1031&gt;0,C1032/C1031-1,"")</f>
        <v/>
      </c>
      <c r="E1032" s="36">
        <f>IF(D1032="","",D1032-$C$12)</f>
        <v/>
      </c>
      <c r="F1032" s="35" t="n">
        <v>428723.0088262677</v>
      </c>
      <c r="G1032" s="36">
        <f>IF(F1031&gt;0,F1032/F1031-1,"")</f>
        <v/>
      </c>
      <c r="H1032" s="36">
        <f>IF(G1032="","",G1032-$D$12)</f>
        <v/>
      </c>
    </row>
    <row r="1033">
      <c r="B1033" s="34" t="inlineStr">
        <is>
          <t>2025-09-02</t>
        </is>
      </c>
      <c r="C1033" s="35" t="n">
        <v>466370.9224304015</v>
      </c>
      <c r="D1033" s="36">
        <f>IF(C1032&gt;0,C1033/C1032-1,"")</f>
        <v/>
      </c>
      <c r="E1033" s="36">
        <f>IF(D1033="","",D1033-$C$12)</f>
        <v/>
      </c>
      <c r="F1033" s="35" t="n">
        <v>427885.8860543621</v>
      </c>
      <c r="G1033" s="36">
        <f>IF(F1032&gt;0,F1033/F1032-1,"")</f>
        <v/>
      </c>
      <c r="H1033" s="36">
        <f>IF(G1033="","",G1033-$D$12)</f>
        <v/>
      </c>
    </row>
    <row r="1034">
      <c r="B1034" s="34" t="inlineStr">
        <is>
          <t>2025-09-03</t>
        </is>
      </c>
      <c r="C1034" s="35" t="n">
        <v>467223.3027450109</v>
      </c>
      <c r="D1034" s="36">
        <f>IF(C1033&gt;0,C1034/C1033-1,"")</f>
        <v/>
      </c>
      <c r="E1034" s="36">
        <f>IF(D1034="","",D1034-$C$12)</f>
        <v/>
      </c>
      <c r="F1034" s="35" t="n">
        <v>428988.5210781523</v>
      </c>
      <c r="G1034" s="36">
        <f>IF(F1033&gt;0,F1034/F1033-1,"")</f>
        <v/>
      </c>
      <c r="H1034" s="36">
        <f>IF(G1034="","",G1034-$D$12)</f>
        <v/>
      </c>
    </row>
    <row r="1035">
      <c r="B1035" s="34" t="inlineStr">
        <is>
          <t>2025-09-04</t>
        </is>
      </c>
      <c r="C1035" s="35" t="n">
        <v>470406.9204105092</v>
      </c>
      <c r="D1035" s="36">
        <f>IF(C1034&gt;0,C1035/C1034-1,"")</f>
        <v/>
      </c>
      <c r="E1035" s="36">
        <f>IF(D1035="","",D1035-$C$12)</f>
        <v/>
      </c>
      <c r="F1035" s="35" t="n">
        <v>431605.2362744228</v>
      </c>
      <c r="G1035" s="36">
        <f>IF(F1034&gt;0,F1035/F1034-1,"")</f>
        <v/>
      </c>
      <c r="H1035" s="36">
        <f>IF(G1035="","",G1035-$D$12)</f>
        <v/>
      </c>
    </row>
    <row r="1036">
      <c r="B1036" s="34" t="inlineStr">
        <is>
          <t>2025-09-05</t>
        </is>
      </c>
      <c r="C1036" s="35" t="n">
        <v>469191.0913748742</v>
      </c>
      <c r="D1036" s="36">
        <f>IF(C1035&gt;0,C1036/C1035-1,"")</f>
        <v/>
      </c>
      <c r="E1036" s="36">
        <f>IF(D1036="","",D1036-$C$12)</f>
        <v/>
      </c>
      <c r="F1036" s="35" t="n">
        <v>430626.6556975098</v>
      </c>
      <c r="G1036" s="36">
        <f>IF(F1035&gt;0,F1036/F1035-1,"")</f>
        <v/>
      </c>
      <c r="H1036" s="36">
        <f>IF(G1036="","",G1036-$D$12)</f>
        <v/>
      </c>
    </row>
    <row r="1037">
      <c r="B1037" s="34" t="inlineStr">
        <is>
          <t>2025-09-08</t>
        </is>
      </c>
      <c r="C1037" s="35" t="n">
        <v>468466.7904403441</v>
      </c>
      <c r="D1037" s="36">
        <f>IF(C1036&gt;0,C1037/C1036-1,"")</f>
        <v/>
      </c>
      <c r="E1037" s="36">
        <f>IF(D1037="","",D1037-$C$12)</f>
        <v/>
      </c>
      <c r="F1037" s="35" t="n">
        <v>430013.9197071693</v>
      </c>
      <c r="G1037" s="36">
        <f>IF(F1036&gt;0,F1037/F1036-1,"")</f>
        <v/>
      </c>
      <c r="H1037" s="36">
        <f>IF(G1037="","",G1037-$D$12)</f>
        <v/>
      </c>
    </row>
    <row r="1038">
      <c r="B1038" s="34" t="inlineStr">
        <is>
          <t>2025-09-09</t>
        </is>
      </c>
      <c r="C1038" s="35" t="n">
        <v>469352.7342299569</v>
      </c>
      <c r="D1038" s="36">
        <f>IF(C1037&gt;0,C1038/C1037-1,"")</f>
        <v/>
      </c>
      <c r="E1038" s="36">
        <f>IF(D1038="","",D1038-$C$12)</f>
        <v/>
      </c>
      <c r="F1038" s="35" t="n">
        <v>430281.2273555024</v>
      </c>
      <c r="G1038" s="36">
        <f>IF(F1037&gt;0,F1038/F1037-1,"")</f>
        <v/>
      </c>
      <c r="H1038" s="36">
        <f>IF(G1038="","",G1038-$D$12)</f>
        <v/>
      </c>
    </row>
    <row r="1039">
      <c r="B1039" s="34" t="inlineStr">
        <is>
          <t>2025-09-10</t>
        </is>
      </c>
      <c r="C1039" s="35" t="n">
        <v>469678.8471614086</v>
      </c>
      <c r="D1039" s="36">
        <f>IF(C1038&gt;0,C1039/C1038-1,"")</f>
        <v/>
      </c>
      <c r="E1039" s="36">
        <f>IF(D1039="","",D1039-$C$12)</f>
        <v/>
      </c>
      <c r="F1039" s="35" t="n">
        <v>430379.7339598461</v>
      </c>
      <c r="G1039" s="36">
        <f>IF(F1038&gt;0,F1039/F1038-1,"")</f>
        <v/>
      </c>
      <c r="H1039" s="36">
        <f>IF(G1039="","",G1039-$D$12)</f>
        <v/>
      </c>
    </row>
    <row r="1040">
      <c r="B1040" s="34" t="inlineStr">
        <is>
          <t>2025-09-11</t>
        </is>
      </c>
      <c r="C1040" s="35" t="n">
        <v>470496.7169456552</v>
      </c>
      <c r="D1040" s="36">
        <f>IF(C1039&gt;0,C1040/C1039-1,"")</f>
        <v/>
      </c>
      <c r="E1040" s="36">
        <f>IF(D1040="","",D1040-$C$12)</f>
        <v/>
      </c>
      <c r="F1040" s="35" t="n">
        <v>431282.0220211038</v>
      </c>
      <c r="G1040" s="36">
        <f>IF(F1039&gt;0,F1040/F1039-1,"")</f>
        <v/>
      </c>
      <c r="H1040" s="36">
        <f>IF(G1040="","",G1040-$D$12)</f>
        <v/>
      </c>
    </row>
    <row r="1041">
      <c r="B1041" s="34" t="inlineStr">
        <is>
          <t>2025-09-12</t>
        </is>
      </c>
      <c r="C1041" s="35" t="n">
        <v>470288.6550568131</v>
      </c>
      <c r="D1041" s="36">
        <f>IF(C1040&gt;0,C1041/C1040-1,"")</f>
        <v/>
      </c>
      <c r="E1041" s="36">
        <f>IF(D1041="","",D1041-$C$12)</f>
        <v/>
      </c>
      <c r="F1041" s="35" t="n">
        <v>430922.2835067897</v>
      </c>
      <c r="G1041" s="36">
        <f>IF(F1040&gt;0,F1041/F1040-1,"")</f>
        <v/>
      </c>
      <c r="H1041" s="36">
        <f>IF(G1041="","",G1041-$D$12)</f>
        <v/>
      </c>
    </row>
    <row r="1042">
      <c r="B1042" s="34" t="inlineStr">
        <is>
          <t>2025-09-15</t>
        </is>
      </c>
      <c r="C1042" s="35" t="n">
        <v>469056.2091274977</v>
      </c>
      <c r="D1042" s="36">
        <f>IF(C1041&gt;0,C1042/C1041-1,"")</f>
        <v/>
      </c>
      <c r="E1042" s="36">
        <f>IF(D1042="","",D1042-$C$12)</f>
        <v/>
      </c>
      <c r="F1042" s="35" t="n">
        <v>429951.6419159816</v>
      </c>
      <c r="G1042" s="36">
        <f>IF(F1041&gt;0,F1042/F1041-1,"")</f>
        <v/>
      </c>
      <c r="H1042" s="36">
        <f>IF(G1042="","",G1042-$D$12)</f>
        <v/>
      </c>
    </row>
    <row r="1043">
      <c r="B1043" s="34" t="inlineStr">
        <is>
          <t>2025-09-16</t>
        </is>
      </c>
      <c r="C1043" s="35" t="n">
        <v>466393.4147298387</v>
      </c>
      <c r="D1043" s="36">
        <f>IF(C1042&gt;0,C1043/C1042-1,"")</f>
        <v/>
      </c>
      <c r="E1043" s="36">
        <f>IF(D1043="","",D1043-$C$12)</f>
        <v/>
      </c>
      <c r="F1043" s="35" t="n">
        <v>427541.3888052632</v>
      </c>
      <c r="G1043" s="36">
        <f>IF(F1042&gt;0,F1043/F1042-1,"")</f>
        <v/>
      </c>
      <c r="H1043" s="36">
        <f>IF(G1043="","",G1043-$D$12)</f>
        <v/>
      </c>
    </row>
    <row r="1044">
      <c r="B1044" s="34" t="inlineStr">
        <is>
          <t>2025-09-17</t>
        </is>
      </c>
      <c r="C1044" s="35" t="n">
        <v>466084.3658610106</v>
      </c>
      <c r="D1044" s="36">
        <f>IF(C1043&gt;0,C1044/C1043-1,"")</f>
        <v/>
      </c>
      <c r="E1044" s="36">
        <f>IF(D1044="","",D1044-$C$12)</f>
        <v/>
      </c>
      <c r="F1044" s="35" t="n">
        <v>427248.8869294008</v>
      </c>
      <c r="G1044" s="36">
        <f>IF(F1043&gt;0,F1044/F1043-1,"")</f>
        <v/>
      </c>
      <c r="H1044" s="36">
        <f>IF(G1044="","",G1044-$D$12)</f>
        <v/>
      </c>
    </row>
    <row r="1045">
      <c r="B1045" s="34" t="inlineStr">
        <is>
          <t>2025-09-18</t>
        </is>
      </c>
      <c r="C1045" s="35" t="n">
        <v>467692.3189958276</v>
      </c>
      <c r="D1045" s="36">
        <f>IF(C1044&gt;0,C1045/C1044-1,"")</f>
        <v/>
      </c>
      <c r="E1045" s="36">
        <f>IF(D1045="","",D1045-$C$12)</f>
        <v/>
      </c>
      <c r="F1045" s="35" t="n">
        <v>428279.1149489137</v>
      </c>
      <c r="G1045" s="36">
        <f>IF(F1044&gt;0,F1045/F1044-1,"")</f>
        <v/>
      </c>
      <c r="H1045" s="36">
        <f>IF(G1045="","",G1045-$D$12)</f>
        <v/>
      </c>
    </row>
    <row r="1046">
      <c r="B1046" s="34" t="inlineStr">
        <is>
          <t>2025-09-19</t>
        </is>
      </c>
      <c r="C1046" s="35" t="n">
        <v>469233.8539744198</v>
      </c>
      <c r="D1046" s="36">
        <f>IF(C1045&gt;0,C1046/C1045-1,"")</f>
        <v/>
      </c>
      <c r="E1046" s="36">
        <f>IF(D1046="","",D1046-$C$12)</f>
        <v/>
      </c>
      <c r="F1046" s="35" t="n">
        <v>429204.7823661159</v>
      </c>
      <c r="G1046" s="36">
        <f>IF(F1045&gt;0,F1046/F1045-1,"")</f>
        <v/>
      </c>
      <c r="H1046" s="36">
        <f>IF(G1046="","",G1046-$D$12)</f>
        <v/>
      </c>
    </row>
    <row r="1047">
      <c r="B1047" s="34" t="inlineStr">
        <is>
          <t>2025-09-22</t>
        </is>
      </c>
      <c r="C1047" s="35" t="n">
        <v>469107.0927380181</v>
      </c>
      <c r="D1047" s="36">
        <f>IF(C1046&gt;0,C1047/C1046-1,"")</f>
        <v/>
      </c>
      <c r="E1047" s="36">
        <f>IF(D1047="","",D1047-$C$12)</f>
        <v/>
      </c>
      <c r="F1047" s="35" t="n">
        <v>429448.9424056434</v>
      </c>
      <c r="G1047" s="36">
        <f>IF(F1046&gt;0,F1047/F1046-1,"")</f>
        <v/>
      </c>
      <c r="H1047" s="36">
        <f>IF(G1047="","",G1047-$D$12)</f>
        <v/>
      </c>
    </row>
    <row r="1048">
      <c r="B1048" s="34" t="inlineStr">
        <is>
          <t>2025-09-23</t>
        </is>
      </c>
      <c r="C1048" s="35" t="n">
        <v>468734.19867301</v>
      </c>
      <c r="D1048" s="36">
        <f>IF(C1047&gt;0,C1048/C1047-1,"")</f>
        <v/>
      </c>
      <c r="E1048" s="36">
        <f>IF(D1048="","",D1048-$C$12)</f>
        <v/>
      </c>
      <c r="F1048" s="35" t="n">
        <v>429455.7274251341</v>
      </c>
      <c r="G1048" s="36">
        <f>IF(F1047&gt;0,F1048/F1047-1,"")</f>
        <v/>
      </c>
      <c r="H1048" s="36">
        <f>IF(G1048="","",G1048-$D$12)</f>
        <v/>
      </c>
    </row>
    <row r="1049">
      <c r="B1049" s="34" t="inlineStr">
        <is>
          <t>2025-09-24</t>
        </is>
      </c>
      <c r="C1049" s="35" t="n">
        <v>467301.5896514641</v>
      </c>
      <c r="D1049" s="36">
        <f>IF(C1048&gt;0,C1049/C1048-1,"")</f>
        <v/>
      </c>
      <c r="E1049" s="36">
        <f>IF(D1049="","",D1049-$C$12)</f>
        <v/>
      </c>
      <c r="F1049" s="35" t="n">
        <v>428133.3126168957</v>
      </c>
      <c r="G1049" s="36">
        <f>IF(F1048&gt;0,F1049/F1048-1,"")</f>
        <v/>
      </c>
      <c r="H1049" s="36">
        <f>IF(G1049="","",G1049-$D$12)</f>
        <v/>
      </c>
    </row>
    <row r="1050">
      <c r="B1050" s="34" t="inlineStr">
        <is>
          <t>2025-09-25</t>
        </is>
      </c>
      <c r="C1050" s="35" t="n">
        <v>466434.1327556443</v>
      </c>
      <c r="D1050" s="36">
        <f>IF(C1049&gt;0,C1050/C1049-1,"")</f>
        <v/>
      </c>
      <c r="E1050" s="36">
        <f>IF(D1050="","",D1050-$C$12)</f>
        <v/>
      </c>
      <c r="F1050" s="35" t="n">
        <v>427196.7615037978</v>
      </c>
      <c r="G1050" s="36">
        <f>IF(F1049&gt;0,F1050/F1049-1,"")</f>
        <v/>
      </c>
      <c r="H1050" s="36">
        <f>IF(G1050="","",G1050-$D$12)</f>
        <v/>
      </c>
    </row>
    <row r="1051">
      <c r="B1051" s="34" t="inlineStr">
        <is>
          <t>2025-09-26</t>
        </is>
      </c>
      <c r="C1051" s="35" t="n">
        <v>467384.6226703208</v>
      </c>
      <c r="D1051" s="36">
        <f>IF(C1050&gt;0,C1051/C1050-1,"")</f>
        <v/>
      </c>
      <c r="E1051" s="36">
        <f>IF(D1051="","",D1051-$C$12)</f>
        <v/>
      </c>
      <c r="F1051" s="35" t="n">
        <v>428188.108434364</v>
      </c>
      <c r="G1051" s="36">
        <f>IF(F1050&gt;0,F1051/F1050-1,"")</f>
        <v/>
      </c>
      <c r="H1051" s="36">
        <f>IF(G1051="","",G1051-$D$12)</f>
        <v/>
      </c>
    </row>
    <row r="1052">
      <c r="B1052" s="34" t="inlineStr">
        <is>
          <t>2025-09-29</t>
        </is>
      </c>
      <c r="C1052" s="35" t="n">
        <v>469234.2149245324</v>
      </c>
      <c r="D1052" s="36">
        <f>IF(C1051&gt;0,C1052/C1051-1,"")</f>
        <v/>
      </c>
      <c r="E1052" s="36">
        <f>IF(D1052="","",D1052-$C$12)</f>
        <v/>
      </c>
      <c r="F1052" s="35" t="n">
        <v>429552.3596884417</v>
      </c>
      <c r="G1052" s="36">
        <f>IF(F1051&gt;0,F1052/F1051-1,"")</f>
        <v/>
      </c>
      <c r="H1052" s="36">
        <f>IF(G1052="","",G1052-$D$12)</f>
        <v/>
      </c>
    </row>
    <row r="1053">
      <c r="B1053" s="34" t="inlineStr">
        <is>
          <t>2025-09-30</t>
        </is>
      </c>
      <c r="C1053" s="35" t="n">
        <v>471221.896129416</v>
      </c>
      <c r="D1053" s="36">
        <f>IF(C1052&gt;0,C1053/C1052-1,"")</f>
        <v/>
      </c>
      <c r="E1053" s="36">
        <f>IF(D1053="","",D1053-$C$12)</f>
        <v/>
      </c>
      <c r="F1053" s="35" t="n">
        <v>431104.1280205765</v>
      </c>
      <c r="G1053" s="36">
        <f>IF(F1052&gt;0,F1053/F1052-1,"")</f>
        <v/>
      </c>
      <c r="H1053" s="36">
        <f>IF(G1053="","",G1053-$D$12)</f>
        <v/>
      </c>
    </row>
    <row r="1054">
      <c r="B1054" s="34" t="inlineStr">
        <is>
          <t>2025-10-01</t>
        </is>
      </c>
      <c r="C1054" s="35" t="n">
        <v>476700.6535900614</v>
      </c>
      <c r="D1054" s="36">
        <f>IF(C1053&gt;0,C1054/C1053-1,"")</f>
        <v/>
      </c>
      <c r="E1054" s="36">
        <f>IF(D1054="","",D1054-$C$12)</f>
        <v/>
      </c>
      <c r="F1054" s="35" t="n">
        <v>435924.0765301486</v>
      </c>
      <c r="G1054" s="36">
        <f>IF(F1053&gt;0,F1054/F1053-1,"")</f>
        <v/>
      </c>
      <c r="H1054" s="36">
        <f>IF(G1054="","",G1054-$D$12)</f>
        <v/>
      </c>
    </row>
    <row r="1055">
      <c r="B1055" s="34" t="inlineStr">
        <is>
          <t>2025-10-02</t>
        </is>
      </c>
      <c r="C1055" s="35" t="n">
        <v>477923.0147253147</v>
      </c>
      <c r="D1055" s="36">
        <f>IF(C1054&gt;0,C1055/C1054-1,"")</f>
        <v/>
      </c>
      <c r="E1055" s="36">
        <f>IF(D1055="","",D1055-$C$12)</f>
        <v/>
      </c>
      <c r="F1055" s="35" t="n">
        <v>437078.4696323397</v>
      </c>
      <c r="G1055" s="36">
        <f>IF(F1054&gt;0,F1055/F1054-1,"")</f>
        <v/>
      </c>
      <c r="H1055" s="36">
        <f>IF(G1055="","",G1055-$D$12)</f>
        <v/>
      </c>
    </row>
    <row r="1056">
      <c r="B1056" s="34" t="inlineStr">
        <is>
          <t>2025-10-03</t>
        </is>
      </c>
      <c r="C1056" s="35" t="n">
        <v>477299.5827904311</v>
      </c>
      <c r="D1056" s="36">
        <f>IF(C1055&gt;0,C1056/C1055-1,"")</f>
        <v/>
      </c>
      <c r="E1056" s="36">
        <f>IF(D1056="","",D1056-$C$12)</f>
        <v/>
      </c>
      <c r="F1056" s="35" t="n">
        <v>437196.8934519826</v>
      </c>
      <c r="G1056" s="36">
        <f>IF(F1055&gt;0,F1056/F1055-1,"")</f>
        <v/>
      </c>
      <c r="H1056" s="36">
        <f>IF(G1056="","",G1056-$D$12)</f>
        <v/>
      </c>
    </row>
    <row r="1057">
      <c r="B1057" s="34" t="inlineStr">
        <is>
          <t>2025-10-06</t>
        </is>
      </c>
      <c r="C1057" s="35" t="n">
        <v>480352.1438573537</v>
      </c>
      <c r="D1057" s="36">
        <f>IF(C1056&gt;0,C1057/C1056-1,"")</f>
        <v/>
      </c>
      <c r="E1057" s="36">
        <f>IF(D1057="","",D1057-$C$12)</f>
        <v/>
      </c>
      <c r="F1057" s="35" t="n">
        <v>439821.2401209358</v>
      </c>
      <c r="G1057" s="36">
        <f>IF(F1056&gt;0,F1057/F1056-1,"")</f>
        <v/>
      </c>
      <c r="H1057" s="36">
        <f>IF(G1057="","",G1057-$D$12)</f>
        <v/>
      </c>
    </row>
    <row r="1058">
      <c r="B1058" s="34" t="inlineStr">
        <is>
          <t>2025-10-07</t>
        </is>
      </c>
      <c r="C1058" s="35" t="n">
        <v>480485.4166283167</v>
      </c>
      <c r="D1058" s="36">
        <f>IF(C1057&gt;0,C1058/C1057-1,"")</f>
        <v/>
      </c>
      <c r="E1058" s="36">
        <f>IF(D1058="","",D1058-$C$12)</f>
        <v/>
      </c>
      <c r="F1058" s="35" t="n">
        <v>439985.7738575939</v>
      </c>
      <c r="G1058" s="36">
        <f>IF(F1057&gt;0,F1058/F1057-1,"")</f>
        <v/>
      </c>
      <c r="H1058" s="36">
        <f>IF(G1058="","",G1058-$D$12)</f>
        <v/>
      </c>
    </row>
    <row r="1059">
      <c r="B1059" s="34" t="inlineStr">
        <is>
          <t>2025-10-08</t>
        </is>
      </c>
      <c r="C1059" s="35" t="n">
        <v>483074.2946818921</v>
      </c>
      <c r="D1059" s="36">
        <f>IF(C1058&gt;0,C1059/C1058-1,"")</f>
        <v/>
      </c>
      <c r="E1059" s="36">
        <f>IF(D1059="","",D1059-$C$12)</f>
        <v/>
      </c>
      <c r="F1059" s="35" t="n">
        <v>441838.1311778097</v>
      </c>
      <c r="G1059" s="36">
        <f>IF(F1058&gt;0,F1059/F1058-1,"")</f>
        <v/>
      </c>
      <c r="H1059" s="36">
        <f>IF(G1059="","",G1059-$D$12)</f>
        <v/>
      </c>
    </row>
    <row r="1060">
      <c r="B1060" s="34" t="inlineStr">
        <is>
          <t>2025-10-09</t>
        </is>
      </c>
      <c r="C1060" s="35" t="n">
        <v>483161.8506138962</v>
      </c>
      <c r="D1060" s="36">
        <f>IF(C1059&gt;0,C1060/C1059-1,"")</f>
        <v/>
      </c>
      <c r="E1060" s="36">
        <f>IF(D1060="","",D1060-$C$12)</f>
        <v/>
      </c>
      <c r="F1060" s="35" t="n">
        <v>441759.4327005934</v>
      </c>
      <c r="G1060" s="36">
        <f>IF(F1059&gt;0,F1060/F1059-1,"")</f>
        <v/>
      </c>
      <c r="H1060" s="36">
        <f>IF(G1060="","",G1060-$D$12)</f>
        <v/>
      </c>
    </row>
    <row r="1061">
      <c r="B1061" s="34" t="inlineStr">
        <is>
          <t>2025-10-10</t>
        </is>
      </c>
      <c r="C1061" s="35" t="n">
        <v>480162.8651118323</v>
      </c>
      <c r="D1061" s="36">
        <f>IF(C1060&gt;0,C1061/C1060-1,"")</f>
        <v/>
      </c>
      <c r="E1061" s="36">
        <f>IF(D1061="","",D1061-$C$12)</f>
        <v/>
      </c>
      <c r="F1061" s="35" t="n">
        <v>439175.9068417791</v>
      </c>
      <c r="G1061" s="36">
        <f>IF(F1060&gt;0,F1061/F1060-1,"")</f>
        <v/>
      </c>
      <c r="H1061" s="36">
        <f>IF(G1061="","",G1061-$D$12)</f>
        <v/>
      </c>
    </row>
    <row r="1062">
      <c r="B1062" s="34" t="inlineStr">
        <is>
          <t>2025-10-13</t>
        </is>
      </c>
      <c r="C1062" s="35" t="n">
        <v>479826.1586067511</v>
      </c>
      <c r="D1062" s="36">
        <f>IF(C1061&gt;0,C1062/C1061-1,"")</f>
        <v/>
      </c>
      <c r="E1062" s="36">
        <f>IF(D1062="","",D1062-$C$12)</f>
        <v/>
      </c>
      <c r="F1062" s="35" t="n">
        <v>438706.2128946416</v>
      </c>
      <c r="G1062" s="36">
        <f>IF(F1061&gt;0,F1062/F1061-1,"")</f>
        <v/>
      </c>
      <c r="H1062" s="36">
        <f>IF(G1062="","",G1062-$D$12)</f>
        <v/>
      </c>
    </row>
    <row r="1063">
      <c r="B1063" s="34" t="inlineStr">
        <is>
          <t>2025-10-14</t>
        </is>
      </c>
      <c r="C1063" s="35" t="n">
        <v>479549.9902215952</v>
      </c>
      <c r="D1063" s="36">
        <f>IF(C1062&gt;0,C1063/C1062-1,"")</f>
        <v/>
      </c>
      <c r="E1063" s="36">
        <f>IF(D1063="","",D1063-$C$12)</f>
        <v/>
      </c>
      <c r="F1063" s="35" t="n">
        <v>438451.6577280083</v>
      </c>
      <c r="G1063" s="36">
        <f>IF(F1062&gt;0,F1063/F1062-1,"")</f>
        <v/>
      </c>
      <c r="H1063" s="36">
        <f>IF(G1063="","",G1063-$D$12)</f>
        <v/>
      </c>
    </row>
    <row r="1064">
      <c r="B1064" s="34" t="inlineStr">
        <is>
          <t>2025-10-15</t>
        </is>
      </c>
      <c r="C1064" s="35" t="n">
        <v>479507.7811140749</v>
      </c>
      <c r="D1064" s="36">
        <f>IF(C1063&gt;0,C1064/C1063-1,"")</f>
        <v/>
      </c>
      <c r="E1064" s="36">
        <f>IF(D1064="","",D1064-$C$12)</f>
        <v/>
      </c>
      <c r="F1064" s="35" t="n">
        <v>438212.5961502152</v>
      </c>
      <c r="G1064" s="36">
        <f>IF(F1063&gt;0,F1064/F1063-1,"")</f>
        <v/>
      </c>
      <c r="H1064" s="36">
        <f>IF(G1064="","",G1064-$D$12)</f>
        <v/>
      </c>
    </row>
    <row r="1065">
      <c r="B1065" s="34" t="inlineStr">
        <is>
          <t>2025-10-16</t>
        </is>
      </c>
      <c r="C1065" s="35" t="n">
        <v>480460.217183888</v>
      </c>
      <c r="D1065" s="36">
        <f>IF(C1064&gt;0,C1065/C1064-1,"")</f>
        <v/>
      </c>
      <c r="E1065" s="36">
        <f>IF(D1065="","",D1065-$C$12)</f>
        <v/>
      </c>
      <c r="F1065" s="35" t="n">
        <v>439027.5900196009</v>
      </c>
      <c r="G1065" s="36">
        <f>IF(F1064&gt;0,F1065/F1064-1,"")</f>
        <v/>
      </c>
      <c r="H1065" s="36">
        <f>IF(G1065="","",G1065-$D$12)</f>
        <v/>
      </c>
    </row>
    <row r="1066">
      <c r="B1066" s="34" t="inlineStr">
        <is>
          <t>2025-10-17</t>
        </is>
      </c>
      <c r="C1066" s="35" t="n">
        <v>477892.8088872324</v>
      </c>
      <c r="D1066" s="36">
        <f>IF(C1065&gt;0,C1066/C1065-1,"")</f>
        <v/>
      </c>
      <c r="E1066" s="36">
        <f>IF(D1066="","",D1066-$C$12)</f>
        <v/>
      </c>
      <c r="F1066" s="35" t="n">
        <v>437156.8341931696</v>
      </c>
      <c r="G1066" s="36">
        <f>IF(F1065&gt;0,F1066/F1065-1,"")</f>
        <v/>
      </c>
      <c r="H1066" s="36">
        <f>IF(G1066="","",G1066-$D$12)</f>
        <v/>
      </c>
    </row>
    <row r="1067">
      <c r="B1067" s="34" t="inlineStr">
        <is>
          <t>2025-10-20</t>
        </is>
      </c>
      <c r="C1067" s="35" t="n">
        <v>479111.3020622238</v>
      </c>
      <c r="D1067" s="36">
        <f>IF(C1066&gt;0,C1067/C1066-1,"")</f>
        <v/>
      </c>
      <c r="E1067" s="36">
        <f>IF(D1067="","",D1067-$C$12)</f>
        <v/>
      </c>
      <c r="F1067" s="35" t="n">
        <v>438515.0790700704</v>
      </c>
      <c r="G1067" s="36">
        <f>IF(F1066&gt;0,F1067/F1066-1,"")</f>
        <v/>
      </c>
      <c r="H1067" s="36">
        <f>IF(G1067="","",G1067-$D$12)</f>
        <v/>
      </c>
    </row>
    <row r="1068">
      <c r="B1068" s="34" t="inlineStr">
        <is>
          <t>2025-10-21</t>
        </is>
      </c>
      <c r="C1068" s="35" t="n">
        <v>478345.2314934103</v>
      </c>
      <c r="D1068" s="36">
        <f>IF(C1067&gt;0,C1068/C1067-1,"")</f>
        <v/>
      </c>
      <c r="E1068" s="36">
        <f>IF(D1068="","",D1068-$C$12)</f>
        <v/>
      </c>
      <c r="F1068" s="35" t="n">
        <v>437830.1802279901</v>
      </c>
      <c r="G1068" s="36">
        <f>IF(F1067&gt;0,F1068/F1067-1,"")</f>
        <v/>
      </c>
      <c r="H1068" s="36">
        <f>IF(G1068="","",G1068-$D$12)</f>
        <v/>
      </c>
    </row>
    <row r="1069">
      <c r="B1069" s="34" t="inlineStr">
        <is>
          <t>2025-10-22</t>
        </is>
      </c>
      <c r="C1069" s="35" t="n">
        <v>478152.4566718023</v>
      </c>
      <c r="D1069" s="36">
        <f>IF(C1068&gt;0,C1069/C1068-1,"")</f>
        <v/>
      </c>
      <c r="E1069" s="36">
        <f>IF(D1069="","",D1069-$C$12)</f>
        <v/>
      </c>
      <c r="F1069" s="35" t="n">
        <v>437880.4478375848</v>
      </c>
      <c r="G1069" s="36">
        <f>IF(F1068&gt;0,F1069/F1068-1,"")</f>
        <v/>
      </c>
      <c r="H1069" s="36">
        <f>IF(G1069="","",G1069-$D$12)</f>
        <v/>
      </c>
    </row>
    <row r="1070">
      <c r="B1070" s="34" t="inlineStr">
        <is>
          <t>2025-10-23</t>
        </is>
      </c>
      <c r="C1070" s="35" t="n">
        <v>478380.2097790817</v>
      </c>
      <c r="D1070" s="36">
        <f>IF(C1069&gt;0,C1070/C1069-1,"")</f>
        <v/>
      </c>
      <c r="E1070" s="36">
        <f>IF(D1070="","",D1070-$C$12)</f>
        <v/>
      </c>
      <c r="F1070" s="35" t="n">
        <v>438182.5619139203</v>
      </c>
      <c r="G1070" s="36">
        <f>IF(F1069&gt;0,F1070/F1069-1,"")</f>
        <v/>
      </c>
      <c r="H1070" s="36">
        <f>IF(G1070="","",G1070-$D$12)</f>
        <v/>
      </c>
    </row>
    <row r="1071">
      <c r="B1071" s="34" t="inlineStr">
        <is>
          <t>2025-10-24</t>
        </is>
      </c>
      <c r="C1071" s="35" t="n">
        <v>483620.3296868626</v>
      </c>
      <c r="D1071" s="36">
        <f>IF(C1070&gt;0,C1071/C1070-1,"")</f>
        <v/>
      </c>
      <c r="E1071" s="36">
        <f>IF(D1071="","",D1071-$C$12)</f>
        <v/>
      </c>
      <c r="F1071" s="35" t="n">
        <v>443001.6359343476</v>
      </c>
      <c r="G1071" s="36">
        <f>IF(F1070&gt;0,F1071/F1070-1,"")</f>
        <v/>
      </c>
      <c r="H1071" s="36">
        <f>IF(G1071="","",G1071-$D$12)</f>
        <v/>
      </c>
    </row>
    <row r="1072">
      <c r="B1072" s="34" t="inlineStr">
        <is>
          <t>2025-10-27</t>
        </is>
      </c>
      <c r="C1072" s="35" t="n">
        <v>480915.9877003793</v>
      </c>
      <c r="D1072" s="36">
        <f>IF(C1071&gt;0,C1072/C1071-1,"")</f>
        <v/>
      </c>
      <c r="E1072" s="36">
        <f>IF(D1072="","",D1072-$C$12)</f>
        <v/>
      </c>
      <c r="F1072" s="35" t="n">
        <v>440090.537331352</v>
      </c>
      <c r="G1072" s="36">
        <f>IF(F1071&gt;0,F1072/F1071-1,"")</f>
        <v/>
      </c>
      <c r="H1072" s="36">
        <f>IF(G1072="","",G1072-$D$12)</f>
        <v/>
      </c>
    </row>
    <row r="1073">
      <c r="B1073" s="34" t="inlineStr">
        <is>
          <t>2025-10-28</t>
        </is>
      </c>
      <c r="C1073" s="35" t="n">
        <v>479369.6008594691</v>
      </c>
      <c r="D1073" s="36">
        <f>IF(C1072&gt;0,C1073/C1072-1,"")</f>
        <v/>
      </c>
      <c r="E1073" s="36">
        <f>IF(D1073="","",D1073-$C$12)</f>
        <v/>
      </c>
      <c r="F1073" s="35" t="n">
        <v>438524.2223269133</v>
      </c>
      <c r="G1073" s="36">
        <f>IF(F1072&gt;0,F1073/F1072-1,"")</f>
        <v/>
      </c>
      <c r="H1073" s="36">
        <f>IF(G1073="","",G1073-$D$12)</f>
        <v/>
      </c>
    </row>
    <row r="1074">
      <c r="B1074" s="34" t="inlineStr">
        <is>
          <t>2025-10-29</t>
        </is>
      </c>
      <c r="C1074" s="35" t="n">
        <v>479716.8398793984</v>
      </c>
      <c r="D1074" s="36">
        <f>IF(C1073&gt;0,C1074/C1073-1,"")</f>
        <v/>
      </c>
      <c r="E1074" s="36">
        <f>IF(D1074="","",D1074-$C$12)</f>
        <v/>
      </c>
      <c r="F1074" s="35" t="n">
        <v>438424.9431412247</v>
      </c>
      <c r="G1074" s="36">
        <f>IF(F1073&gt;0,F1074/F1073-1,"")</f>
        <v/>
      </c>
      <c r="H1074" s="36">
        <f>IF(G1074="","",G1074-$D$12)</f>
        <v/>
      </c>
    </row>
    <row r="1075">
      <c r="B1075" s="34" t="inlineStr">
        <is>
          <t>2025-10-30</t>
        </is>
      </c>
      <c r="C1075" s="35" t="n">
        <v>480137.6519174765</v>
      </c>
      <c r="D1075" s="36">
        <f>IF(C1074&gt;0,C1075/C1074-1,"")</f>
        <v/>
      </c>
      <c r="E1075" s="36">
        <f>IF(D1075="","",D1075-$C$12)</f>
        <v/>
      </c>
      <c r="F1075" s="35" t="n">
        <v>439116.8097039781</v>
      </c>
      <c r="G1075" s="36">
        <f>IF(F1074&gt;0,F1075/F1074-1,"")</f>
        <v/>
      </c>
      <c r="H1075" s="36">
        <f>IF(G1075="","",G1075-$D$12)</f>
        <v/>
      </c>
    </row>
    <row r="1076">
      <c r="B1076" s="34" t="inlineStr">
        <is>
          <t>2025-10-31</t>
        </is>
      </c>
      <c r="C1076" s="35" t="n">
        <v>479114.4459460475</v>
      </c>
      <c r="D1076" s="36">
        <f>IF(C1075&gt;0,C1076/C1075-1,"")</f>
        <v/>
      </c>
      <c r="E1076" s="36">
        <f>IF(D1076="","",D1076-$C$12)</f>
        <v/>
      </c>
      <c r="F1076" s="35" t="n">
        <v>438529.6859919113</v>
      </c>
      <c r="G1076" s="36">
        <f>IF(F1075&gt;0,F1076/F1075-1,"")</f>
        <v/>
      </c>
      <c r="H1076" s="36">
        <f>IF(G1076="","",G1076-$D$12)</f>
        <v/>
      </c>
    </row>
    <row r="1077">
      <c r="B1077" s="34" t="inlineStr">
        <is>
          <t>2025-11-03</t>
        </is>
      </c>
      <c r="C1077" s="35" t="n">
        <v>479155.8606828189</v>
      </c>
      <c r="D1077" s="36">
        <f>IF(C1076&gt;0,C1077/C1076-1,"")</f>
        <v/>
      </c>
      <c r="E1077" s="36">
        <f>IF(D1077="","",D1077-$C$12)</f>
        <v/>
      </c>
      <c r="F1077" s="35" t="n">
        <v>438476.0759680029</v>
      </c>
      <c r="G1077" s="36">
        <f>IF(F1076&gt;0,F1077/F1076-1,"")</f>
        <v/>
      </c>
      <c r="H1077" s="36">
        <f>IF(G1077="","",G1077-$D$12)</f>
        <v/>
      </c>
    </row>
    <row r="1078">
      <c r="B1078" s="34" t="inlineStr">
        <is>
          <t>2025-11-04</t>
        </is>
      </c>
      <c r="C1078" s="35" t="n">
        <v>478988.384056452</v>
      </c>
      <c r="D1078" s="36">
        <f>IF(C1077&gt;0,C1078/C1077-1,"")</f>
        <v/>
      </c>
      <c r="E1078" s="36">
        <f>IF(D1078="","",D1078-$C$12)</f>
        <v/>
      </c>
      <c r="F1078" s="35" t="n">
        <v>438335.3337184952</v>
      </c>
      <c r="G1078" s="36">
        <f>IF(F1077&gt;0,F1078/F1077-1,"")</f>
        <v/>
      </c>
      <c r="H1078" s="36">
        <f>IF(G1078="","",G1078-$D$12)</f>
        <v/>
      </c>
    </row>
    <row r="1079">
      <c r="B1079" s="34" t="inlineStr">
        <is>
          <t>2025-11-05</t>
        </is>
      </c>
      <c r="C1079" s="35" t="n">
        <v>478704.3310963265</v>
      </c>
      <c r="D1079" s="36">
        <f>IF(C1078&gt;0,C1079/C1078-1,"")</f>
        <v/>
      </c>
      <c r="E1079" s="36">
        <f>IF(D1079="","",D1079-$C$12)</f>
        <v/>
      </c>
      <c r="F1079" s="35" t="n">
        <v>438423.2978932898</v>
      </c>
      <c r="G1079" s="36">
        <f>IF(F1078&gt;0,F1079/F1078-1,"")</f>
        <v/>
      </c>
      <c r="H1079" s="36">
        <f>IF(G1079="","",G1079-$D$12)</f>
        <v/>
      </c>
    </row>
    <row r="1080">
      <c r="B1080" s="34" t="inlineStr">
        <is>
          <t>2025-11-06</t>
        </is>
      </c>
      <c r="C1080" s="35" t="n">
        <v>477579.7189444002</v>
      </c>
      <c r="D1080" s="36">
        <f>IF(C1079&gt;0,C1080/C1079-1,"")</f>
        <v/>
      </c>
      <c r="E1080" s="36">
        <f>IF(D1080="","",D1080-$C$12)</f>
        <v/>
      </c>
      <c r="F1080" s="35" t="n">
        <v>437405.4460571213</v>
      </c>
      <c r="G1080" s="36">
        <f>IF(F1079&gt;0,F1080/F1079-1,"")</f>
        <v/>
      </c>
      <c r="H1080" s="36">
        <f>IF(G1080="","",G1080-$D$12)</f>
        <v/>
      </c>
    </row>
    <row r="1081">
      <c r="B1081" s="34" t="inlineStr">
        <is>
          <t>2025-11-07</t>
        </is>
      </c>
      <c r="C1081" s="35" t="n">
        <v>476961.770731936</v>
      </c>
      <c r="D1081" s="36">
        <f>IF(C1080&gt;0,C1081/C1080-1,"")</f>
        <v/>
      </c>
      <c r="E1081" s="36">
        <f>IF(D1081="","",D1081-$C$12)</f>
        <v/>
      </c>
      <c r="F1081" s="35" t="n">
        <v>437028.7976650046</v>
      </c>
      <c r="G1081" s="36">
        <f>IF(F1080&gt;0,F1081/F1080-1,"")</f>
        <v/>
      </c>
      <c r="H1081" s="36">
        <f>IF(G1081="","",G1081-$D$12)</f>
        <v/>
      </c>
    </row>
    <row r="1082">
      <c r="B1082" s="34" t="inlineStr">
        <is>
          <t>2025-11-10</t>
        </is>
      </c>
      <c r="C1082" s="35" t="n">
        <v>482318.9484356464</v>
      </c>
      <c r="D1082" s="36">
        <f>IF(C1081&gt;0,C1082/C1081-1,"")</f>
        <v/>
      </c>
      <c r="E1082" s="36">
        <f>IF(D1082="","",D1082-$C$12)</f>
        <v/>
      </c>
      <c r="F1082" s="35" t="n">
        <v>441273.5865444129</v>
      </c>
      <c r="G1082" s="36">
        <f>IF(F1081&gt;0,F1082/F1081-1,"")</f>
        <v/>
      </c>
      <c r="H1082" s="36">
        <f>IF(G1082="","",G1082-$D$12)</f>
        <v/>
      </c>
    </row>
    <row r="1083">
      <c r="B1083" s="34" t="inlineStr">
        <is>
          <t>2025-11-11</t>
        </is>
      </c>
      <c r="C1083" s="35" t="n">
        <v>485300.3482460955</v>
      </c>
      <c r="D1083" s="36">
        <f>IF(C1082&gt;0,C1083/C1082-1,"")</f>
        <v/>
      </c>
      <c r="E1083" s="36">
        <f>IF(D1083="","",D1083-$C$12)</f>
        <v/>
      </c>
      <c r="F1083" s="35" t="n">
        <v>443815.8894322542</v>
      </c>
      <c r="G1083" s="36">
        <f>IF(F1082&gt;0,F1083/F1082-1,"")</f>
        <v/>
      </c>
      <c r="H1083" s="36">
        <f>IF(G1083="","",G1083-$D$12)</f>
        <v/>
      </c>
    </row>
    <row r="1084">
      <c r="B1084" s="34" t="inlineStr">
        <is>
          <t>2025-11-12</t>
        </is>
      </c>
      <c r="C1084" s="35" t="n">
        <v>486340.3145555835</v>
      </c>
      <c r="D1084" s="36">
        <f>IF(C1083&gt;0,C1084/C1083-1,"")</f>
        <v/>
      </c>
      <c r="E1084" s="36">
        <f>IF(D1084="","",D1084-$C$12)</f>
        <v/>
      </c>
      <c r="F1084" s="35" t="n">
        <v>445431.0739950133</v>
      </c>
      <c r="G1084" s="36">
        <f>IF(F1083&gt;0,F1084/F1083-1,"")</f>
        <v/>
      </c>
      <c r="H1084" s="36">
        <f>IF(G1084="","",G1084-$D$12)</f>
        <v/>
      </c>
    </row>
    <row r="1085">
      <c r="B1085" s="34" t="inlineStr">
        <is>
          <t>2025-11-13</t>
        </is>
      </c>
      <c r="C1085" s="35" t="n">
        <v>484306.9263505862</v>
      </c>
      <c r="D1085" s="36">
        <f>IF(C1084&gt;0,C1085/C1084-1,"")</f>
        <v/>
      </c>
      <c r="E1085" s="36">
        <f>IF(D1085="","",D1085-$C$12)</f>
        <v/>
      </c>
      <c r="F1085" s="35" t="n">
        <v>443950.7855873677</v>
      </c>
      <c r="G1085" s="36">
        <f>IF(F1084&gt;0,F1085/F1084-1,"")</f>
        <v/>
      </c>
      <c r="H1085" s="36">
        <f>IF(G1085="","",G1085-$D$12)</f>
        <v/>
      </c>
    </row>
    <row r="1086">
      <c r="B1086" s="34" t="inlineStr">
        <is>
          <t>2025-11-14</t>
        </is>
      </c>
      <c r="C1086" s="35" t="n">
        <v>480005.1048538334</v>
      </c>
      <c r="D1086" s="36">
        <f>IF(C1085&gt;0,C1086/C1085-1,"")</f>
        <v/>
      </c>
      <c r="E1086" s="36">
        <f>IF(D1086="","",D1086-$C$12)</f>
        <v/>
      </c>
      <c r="F1086" s="35" t="n">
        <v>440803.0853529985</v>
      </c>
      <c r="G1086" s="36">
        <f>IF(F1085&gt;0,F1086/F1085-1,"")</f>
        <v/>
      </c>
      <c r="H1086" s="36">
        <f>IF(G1086="","",G1086-$D$12)</f>
        <v/>
      </c>
    </row>
    <row r="1087">
      <c r="B1087" s="34" t="inlineStr">
        <is>
          <t>2025-11-17</t>
        </is>
      </c>
      <c r="C1087" s="35" t="n">
        <v>478596.4584481145</v>
      </c>
      <c r="D1087" s="36">
        <f>IF(C1086&gt;0,C1087/C1086-1,"")</f>
        <v/>
      </c>
      <c r="E1087" s="36">
        <f>IF(D1087="","",D1087-$C$12)</f>
        <v/>
      </c>
      <c r="F1087" s="35" t="n">
        <v>439688.7485406032</v>
      </c>
      <c r="G1087" s="36">
        <f>IF(F1086&gt;0,F1087/F1086-1,"")</f>
        <v/>
      </c>
      <c r="H1087" s="36">
        <f>IF(G1087="","",G1087-$D$12)</f>
        <v/>
      </c>
    </row>
    <row r="1088">
      <c r="B1088" s="34" t="inlineStr">
        <is>
          <t>2025-11-18</t>
        </is>
      </c>
      <c r="C1088" s="35" t="n">
        <v>476723.240759647</v>
      </c>
      <c r="D1088" s="36">
        <f>IF(C1087&gt;0,C1088/C1087-1,"")</f>
        <v/>
      </c>
      <c r="E1088" s="36">
        <f>IF(D1088="","",D1088-$C$12)</f>
        <v/>
      </c>
      <c r="F1088" s="35" t="n">
        <v>438623.8989862566</v>
      </c>
      <c r="G1088" s="36">
        <f>IF(F1087&gt;0,F1088/F1087-1,"")</f>
        <v/>
      </c>
      <c r="H1088" s="36">
        <f>IF(G1088="","",G1088-$D$12)</f>
        <v/>
      </c>
    </row>
    <row r="1089">
      <c r="B1089" s="34" t="inlineStr">
        <is>
          <t>2025-11-19</t>
        </is>
      </c>
      <c r="C1089" s="35" t="n">
        <v>478324.9441535303</v>
      </c>
      <c r="D1089" s="36">
        <f>IF(C1088&gt;0,C1089/C1088-1,"")</f>
        <v/>
      </c>
      <c r="E1089" s="36">
        <f>IF(D1089="","",D1089-$C$12)</f>
        <v/>
      </c>
      <c r="F1089" s="35" t="n">
        <v>440323.5327833043</v>
      </c>
      <c r="G1089" s="36">
        <f>IF(F1088&gt;0,F1089/F1088-1,"")</f>
        <v/>
      </c>
      <c r="H1089" s="36">
        <f>IF(G1089="","",G1089-$D$12)</f>
        <v/>
      </c>
    </row>
    <row r="1090">
      <c r="B1090" s="34" t="inlineStr">
        <is>
          <t>2025-11-20</t>
        </is>
      </c>
      <c r="C1090" s="35" t="n">
        <v>478382.2757614939</v>
      </c>
      <c r="D1090" s="36">
        <f>IF(C1089&gt;0,C1090/C1089-1,"")</f>
        <v/>
      </c>
      <c r="E1090" s="36">
        <f>IF(D1090="","",D1090-$C$12)</f>
        <v/>
      </c>
      <c r="F1090" s="35" t="n">
        <v>440390.641630022</v>
      </c>
      <c r="G1090" s="36">
        <f>IF(F1089&gt;0,F1090/F1089-1,"")</f>
        <v/>
      </c>
      <c r="H1090" s="36">
        <f>IF(G1090="","",G1090-$D$12)</f>
        <v/>
      </c>
    </row>
    <row r="1091">
      <c r="B1091" s="34" t="inlineStr">
        <is>
          <t>2025-11-21</t>
        </is>
      </c>
      <c r="C1091" s="35" t="n">
        <v>479070.0740835046</v>
      </c>
      <c r="D1091" s="36">
        <f>IF(C1090&gt;0,C1091/C1090-1,"")</f>
        <v/>
      </c>
      <c r="E1091" s="36">
        <f>IF(D1091="","",D1091-$C$12)</f>
        <v/>
      </c>
      <c r="F1091" s="35" t="n">
        <v>440977.9856920388</v>
      </c>
      <c r="G1091" s="36">
        <f>IF(F1090&gt;0,F1091/F1090-1,"")</f>
        <v/>
      </c>
      <c r="H1091" s="36">
        <f>IF(G1091="","",G1091-$D$12)</f>
        <v/>
      </c>
    </row>
    <row r="1092">
      <c r="B1092" s="34" t="inlineStr">
        <is>
          <t>2025-11-24</t>
        </is>
      </c>
      <c r="C1092" s="35" t="n">
        <v>480061.4555735476</v>
      </c>
      <c r="D1092" s="36">
        <f>IF(C1091&gt;0,C1092/C1091-1,"")</f>
        <v/>
      </c>
      <c r="E1092" s="36">
        <f>IF(D1092="","",D1092-$C$12)</f>
        <v/>
      </c>
      <c r="F1092" s="35" t="n">
        <v>441939.8485349871</v>
      </c>
      <c r="G1092" s="36">
        <f>IF(F1091&gt;0,F1092/F1091-1,"")</f>
        <v/>
      </c>
      <c r="H1092" s="36">
        <f>IF(G1092="","",G1092-$D$12)</f>
        <v/>
      </c>
    </row>
    <row r="1093">
      <c r="B1093" s="34" t="inlineStr">
        <is>
          <t>2025-11-25</t>
        </is>
      </c>
      <c r="C1093" s="35" t="n">
        <v>482259.6474339567</v>
      </c>
      <c r="D1093" s="36">
        <f>IF(C1092&gt;0,C1093/C1092-1,"")</f>
        <v/>
      </c>
      <c r="E1093" s="36">
        <f>IF(D1093="","",D1093-$C$12)</f>
        <v/>
      </c>
      <c r="F1093" s="35" t="n">
        <v>443769.2780754233</v>
      </c>
      <c r="G1093" s="36">
        <f>IF(F1092&gt;0,F1093/F1092-1,"")</f>
        <v/>
      </c>
      <c r="H1093" s="36">
        <f>IF(G1093="","",G1093-$D$12)</f>
        <v/>
      </c>
    </row>
    <row r="1094">
      <c r="B1094" s="34" t="inlineStr">
        <is>
          <t>2025-11-26</t>
        </is>
      </c>
      <c r="C1094" s="35" t="n">
        <v>484007.700715402</v>
      </c>
      <c r="D1094" s="36">
        <f>IF(C1093&gt;0,C1094/C1093-1,"")</f>
        <v/>
      </c>
      <c r="E1094" s="36">
        <f>IF(D1094="","",D1094-$C$12)</f>
        <v/>
      </c>
      <c r="F1094" s="35" t="n">
        <v>445409.0212456735</v>
      </c>
      <c r="G1094" s="36">
        <f>IF(F1093&gt;0,F1094/F1093-1,"")</f>
        <v/>
      </c>
      <c r="H1094" s="36">
        <f>IF(G1094="","",G1094-$D$12)</f>
        <v/>
      </c>
    </row>
    <row r="1095">
      <c r="B1095" s="34" t="inlineStr">
        <is>
          <t>2025-11-27</t>
        </is>
      </c>
      <c r="C1095" s="35" t="n">
        <v>484543.3740402712</v>
      </c>
      <c r="D1095" s="36">
        <f>IF(C1094&gt;0,C1095/C1094-1,"")</f>
        <v/>
      </c>
      <c r="E1095" s="36">
        <f>IF(D1095="","",D1095-$C$12)</f>
        <v/>
      </c>
      <c r="F1095" s="35" t="n">
        <v>445865.2652723267</v>
      </c>
      <c r="G1095" s="36">
        <f>IF(F1094&gt;0,F1095/F1094-1,"")</f>
        <v/>
      </c>
      <c r="H1095" s="36">
        <f>IF(G1095="","",G1095-$D$12)</f>
        <v/>
      </c>
    </row>
    <row r="1096">
      <c r="B1096" s="34" t="inlineStr">
        <is>
          <t>2025-11-28</t>
        </is>
      </c>
      <c r="C1096" s="35" t="n">
        <v>484988.1232596684</v>
      </c>
      <c r="D1096" s="36">
        <f>IF(C1095&gt;0,C1096/C1095-1,"")</f>
        <v/>
      </c>
      <c r="E1096" s="36">
        <f>IF(D1096="","",D1096-$C$12)</f>
        <v/>
      </c>
      <c r="F1096" s="35" t="n">
        <v>446380.3532079371</v>
      </c>
      <c r="G1096" s="36">
        <f>IF(F1095&gt;0,F1096/F1095-1,"")</f>
        <v/>
      </c>
      <c r="H1096" s="36">
        <f>IF(G1096="","",G1096-$D$12)</f>
        <v/>
      </c>
    </row>
    <row r="1097">
      <c r="B1097" s="34" t="inlineStr">
        <is>
          <t>2025-12-01</t>
        </is>
      </c>
      <c r="C1097" s="35" t="n">
        <v>483853.8866804189</v>
      </c>
      <c r="D1097" s="36">
        <f>IF(C1096&gt;0,C1097/C1096-1,"")</f>
        <v/>
      </c>
      <c r="E1097" s="36">
        <f>IF(D1097="","",D1097-$C$12)</f>
        <v/>
      </c>
      <c r="F1097" s="35" t="n">
        <v>445713.5692999162</v>
      </c>
      <c r="G1097" s="36">
        <f>IF(F1096&gt;0,F1097/F1096-1,"")</f>
        <v/>
      </c>
      <c r="H1097" s="36">
        <f>IF(G1097="","",G1097-$D$12)</f>
        <v/>
      </c>
    </row>
    <row r="1098">
      <c r="B1098" s="34" t="inlineStr">
        <is>
          <t>2025-12-02</t>
        </is>
      </c>
      <c r="C1098" s="35" t="n">
        <v>485782.8735468501</v>
      </c>
      <c r="D1098" s="36">
        <f>IF(C1097&gt;0,C1098/C1097-1,"")</f>
        <v/>
      </c>
      <c r="E1098" s="36">
        <f>IF(D1098="","",D1098-$C$12)</f>
        <v/>
      </c>
      <c r="F1098" s="35" t="n">
        <v>447163.0154893579</v>
      </c>
      <c r="G1098" s="36">
        <f>IF(F1097&gt;0,F1098/F1097-1,"")</f>
        <v/>
      </c>
      <c r="H1098" s="36">
        <f>IF(G1098="","",G1098-$D$12)</f>
        <v/>
      </c>
    </row>
    <row r="1099">
      <c r="B1099" s="34" t="inlineStr">
        <is>
          <t>2025-12-03</t>
        </is>
      </c>
      <c r="C1099" s="35" t="n">
        <v>484626.1008096804</v>
      </c>
      <c r="D1099" s="36">
        <f>IF(C1098&gt;0,C1099/C1098-1,"")</f>
        <v/>
      </c>
      <c r="E1099" s="36">
        <f>IF(D1099="","",D1099-$C$12)</f>
        <v/>
      </c>
      <c r="F1099" s="35" t="n">
        <v>446739.2723732248</v>
      </c>
      <c r="G1099" s="36">
        <f>IF(F1098&gt;0,F1099/F1098-1,"")</f>
        <v/>
      </c>
      <c r="H1099" s="36">
        <f>IF(G1099="","",G1099-$D$12)</f>
        <v/>
      </c>
    </row>
    <row r="1100">
      <c r="B1100" s="34" t="inlineStr">
        <is>
          <t>2025-12-04</t>
        </is>
      </c>
      <c r="C1100" s="35" t="n">
        <v>485761.2138719187</v>
      </c>
      <c r="D1100" s="36">
        <f>IF(C1099&gt;0,C1100/C1099-1,"")</f>
        <v/>
      </c>
      <c r="E1100" s="36">
        <f>IF(D1100="","",D1100-$C$12)</f>
        <v/>
      </c>
      <c r="F1100" s="35" t="n">
        <v>447688.3059536919</v>
      </c>
      <c r="G1100" s="36">
        <f>IF(F1099&gt;0,F1100/F1099-1,"")</f>
        <v/>
      </c>
      <c r="H1100" s="36">
        <f>IF(G1100="","",G1100-$D$12)</f>
        <v/>
      </c>
    </row>
    <row r="1101">
      <c r="B1101" s="34" t="inlineStr">
        <is>
          <t>2025-12-05</t>
        </is>
      </c>
      <c r="C1101" s="35" t="n">
        <v>484866.0168143554</v>
      </c>
      <c r="D1101" s="36">
        <f>IF(C1100&gt;0,C1101/C1100-1,"")</f>
        <v/>
      </c>
      <c r="E1101" s="36">
        <f>IF(D1101="","",D1101-$C$12)</f>
        <v/>
      </c>
      <c r="F1101" s="35" t="n">
        <v>447410.0810023063</v>
      </c>
      <c r="G1101" s="36">
        <f>IF(F1100&gt;0,F1101/F1100-1,"")</f>
        <v/>
      </c>
      <c r="H1101" s="36">
        <f>IF(G1101="","",G1101-$D$12)</f>
        <v/>
      </c>
    </row>
    <row r="1102">
      <c r="B1102" s="34" t="inlineStr">
        <is>
          <t>2025-12-08</t>
        </is>
      </c>
      <c r="C1102" s="35" t="n">
        <v>485398.3423175107</v>
      </c>
      <c r="D1102" s="36">
        <f>IF(C1101&gt;0,C1102/C1101-1,"")</f>
        <v/>
      </c>
      <c r="E1102" s="36">
        <f>IF(D1102="","",D1102-$C$12)</f>
        <v/>
      </c>
      <c r="F1102" s="35" t="n">
        <v>448366.1619825531</v>
      </c>
      <c r="G1102" s="36">
        <f>IF(F1101&gt;0,F1102/F1101-1,"")</f>
        <v/>
      </c>
      <c r="H1102" s="36">
        <f>IF(G1102="","",G1102-$D$12)</f>
        <v/>
      </c>
    </row>
    <row r="1103">
      <c r="B1103" s="34" t="inlineStr">
        <is>
          <t>2025-12-09</t>
        </is>
      </c>
      <c r="C1103" s="35" t="n">
        <v>484712.9322255095</v>
      </c>
      <c r="D1103" s="36">
        <f>IF(C1102&gt;0,C1103/C1102-1,"")</f>
        <v/>
      </c>
      <c r="E1103" s="36">
        <f>IF(D1103="","",D1103-$C$12)</f>
        <v/>
      </c>
      <c r="F1103" s="35" t="n">
        <v>448057.057868715</v>
      </c>
      <c r="G1103" s="36">
        <f>IF(F1102&gt;0,F1103/F1102-1,"")</f>
        <v/>
      </c>
      <c r="H1103" s="36">
        <f>IF(G1103="","",G1103-$D$12)</f>
        <v/>
      </c>
    </row>
    <row r="1104">
      <c r="B1104" s="34" t="inlineStr">
        <is>
          <t>2025-12-10</t>
        </is>
      </c>
      <c r="C1104" s="35" t="n">
        <v>484699.477768484</v>
      </c>
      <c r="D1104" s="36">
        <f>IF(C1103&gt;0,C1104/C1103-1,"")</f>
        <v/>
      </c>
      <c r="E1104" s="36">
        <f>IF(D1104="","",D1104-$C$12)</f>
        <v/>
      </c>
      <c r="F1104" s="35" t="n">
        <v>448421.3714552547</v>
      </c>
      <c r="G1104" s="36">
        <f>IF(F1103&gt;0,F1104/F1103-1,"")</f>
        <v/>
      </c>
      <c r="H1104" s="36">
        <f>IF(G1104="","",G1104-$D$12)</f>
        <v/>
      </c>
    </row>
    <row r="1105">
      <c r="B1105" s="34" t="inlineStr">
        <is>
          <t>2025-12-11</t>
        </is>
      </c>
      <c r="C1105" s="35" t="n">
        <v>484351.9762552371</v>
      </c>
      <c r="D1105" s="36">
        <f>IF(C1104&gt;0,C1105/C1104-1,"")</f>
        <v/>
      </c>
      <c r="E1105" s="36">
        <f>IF(D1105="","",D1105-$C$12)</f>
        <v/>
      </c>
      <c r="F1105" s="35" t="n">
        <v>447860.292192835</v>
      </c>
      <c r="G1105" s="36">
        <f>IF(F1104&gt;0,F1105/F1104-1,"")</f>
        <v/>
      </c>
      <c r="H1105" s="36">
        <f>IF(G1105="","",G1105-$D$12)</f>
        <v/>
      </c>
    </row>
    <row r="1106">
      <c r="B1106" s="34" t="inlineStr">
        <is>
          <t>2025-12-12</t>
        </is>
      </c>
      <c r="C1106" s="35" t="n">
        <v>484260.2961018315</v>
      </c>
      <c r="D1106" s="36">
        <f>IF(C1105&gt;0,C1106/C1105-1,"")</f>
        <v/>
      </c>
      <c r="E1106" s="36">
        <f>IF(D1106="","",D1106-$C$12)</f>
        <v/>
      </c>
      <c r="F1106" s="35" t="n">
        <v>447990.7776100374</v>
      </c>
      <c r="G1106" s="36">
        <f>IF(F1105&gt;0,F1106/F1105-1,"")</f>
        <v/>
      </c>
      <c r="H1106" s="36">
        <f>IF(G1106="","",G1106-$D$12)</f>
        <v/>
      </c>
    </row>
    <row r="1107">
      <c r="B1107" s="34" t="inlineStr">
        <is>
          <t>2025-12-15</t>
        </is>
      </c>
      <c r="C1107" s="35" t="n">
        <v>486641.2386379745</v>
      </c>
      <c r="D1107" s="36">
        <f>IF(C1106&gt;0,C1107/C1106-1,"")</f>
        <v/>
      </c>
      <c r="E1107" s="36">
        <f>IF(D1107="","",D1107-$C$12)</f>
        <v/>
      </c>
      <c r="F1107" s="35" t="n">
        <v>450344.3702812439</v>
      </c>
      <c r="G1107" s="36">
        <f>IF(F1106&gt;0,F1107/F1106-1,"")</f>
        <v/>
      </c>
      <c r="H1107" s="36">
        <f>IF(G1107="","",G1107-$D$12)</f>
        <v/>
      </c>
    </row>
    <row r="1108">
      <c r="B1108" s="34" t="inlineStr">
        <is>
          <t>2025-12-16</t>
        </is>
      </c>
      <c r="C1108" s="35" t="n">
        <v>486081.1774804436</v>
      </c>
      <c r="D1108" s="36">
        <f>IF(C1107&gt;0,C1108/C1107-1,"")</f>
        <v/>
      </c>
      <c r="E1108" s="36">
        <f>IF(D1108="","",D1108-$C$12)</f>
        <v/>
      </c>
      <c r="F1108" s="35" t="n">
        <v>449281.794893161</v>
      </c>
      <c r="G1108" s="36">
        <f>IF(F1107&gt;0,F1108/F1107-1,"")</f>
        <v/>
      </c>
      <c r="H1108" s="36">
        <f>IF(G1108="","",G1108-$D$12)</f>
        <v/>
      </c>
    </row>
    <row r="1109">
      <c r="B1109" s="34" t="inlineStr">
        <is>
          <t>2025-12-17</t>
        </is>
      </c>
      <c r="C1109" s="35" t="n">
        <v>485114.8226244707</v>
      </c>
      <c r="D1109" s="36">
        <f>IF(C1108&gt;0,C1109/C1108-1,"")</f>
        <v/>
      </c>
      <c r="E1109" s="36">
        <f>IF(D1109="","",D1109-$C$12)</f>
        <v/>
      </c>
      <c r="F1109" s="35" t="n">
        <v>448842.7613571438</v>
      </c>
      <c r="G1109" s="36">
        <f>IF(F1108&gt;0,F1109/F1108-1,"")</f>
        <v/>
      </c>
      <c r="H1109" s="36">
        <f>IF(G1109="","",G1109-$D$12)</f>
        <v/>
      </c>
    </row>
    <row r="1110">
      <c r="B1110" s="34" t="inlineStr">
        <is>
          <t>2025-12-18</t>
        </is>
      </c>
      <c r="C1110" s="35" t="n">
        <v>487348.3583806989</v>
      </c>
      <c r="D1110" s="36">
        <f>IF(C1109&gt;0,C1110/C1109-1,"")</f>
        <v/>
      </c>
      <c r="E1110" s="36">
        <f>IF(D1110="","",D1110-$C$12)</f>
        <v/>
      </c>
      <c r="F1110" s="35" t="n">
        <v>450298.5724657665</v>
      </c>
      <c r="G1110" s="36">
        <f>IF(F1109&gt;0,F1110/F1109-1,"")</f>
        <v/>
      </c>
      <c r="H1110" s="36">
        <f>IF(G1110="","",G1110-$D$12)</f>
        <v/>
      </c>
    </row>
    <row r="1111">
      <c r="B1111" s="34" t="inlineStr">
        <is>
          <t>2025-12-19</t>
        </is>
      </c>
      <c r="C1111" s="35" t="n">
        <v>489029.2514493031</v>
      </c>
      <c r="D1111" s="36">
        <f>IF(C1110&gt;0,C1111/C1110-1,"")</f>
        <v/>
      </c>
      <c r="E1111" s="36">
        <f>IF(D1111="","",D1111-$C$12)</f>
        <v/>
      </c>
      <c r="F1111" s="35" t="n">
        <v>451522.3504571503</v>
      </c>
      <c r="G1111" s="36">
        <f>IF(F1110&gt;0,F1111/F1110-1,"")</f>
        <v/>
      </c>
      <c r="H1111" s="36">
        <f>IF(G1111="","",G1111-$D$12)</f>
        <v/>
      </c>
    </row>
    <row r="1112">
      <c r="B1112" s="34" t="inlineStr">
        <is>
          <t>2025-12-22</t>
        </is>
      </c>
      <c r="C1112" s="35" t="n">
        <v>489995.3036593077</v>
      </c>
      <c r="D1112" s="36">
        <f>IF(C1111&gt;0,C1112/C1111-1,"")</f>
        <v/>
      </c>
      <c r="E1112" s="36">
        <f>IF(D1112="","",D1112-$C$12)</f>
        <v/>
      </c>
      <c r="F1112" s="35" t="n">
        <v>452616.83529007</v>
      </c>
      <c r="G1112" s="36">
        <f>IF(F1111&gt;0,F1112/F1111-1,"")</f>
        <v/>
      </c>
      <c r="H1112" s="36">
        <f>IF(G1112="","",G1112-$D$12)</f>
        <v/>
      </c>
    </row>
    <row r="1113">
      <c r="B1113" s="34" t="inlineStr">
        <is>
          <t>2025-12-23</t>
        </is>
      </c>
      <c r="C1113" s="35" t="n">
        <v>491519.6216750345</v>
      </c>
      <c r="D1113" s="36">
        <f>IF(C1112&gt;0,C1113/C1112-1,"")</f>
        <v/>
      </c>
      <c r="E1113" s="36">
        <f>IF(D1113="","",D1113-$C$12)</f>
        <v/>
      </c>
      <c r="F1113" s="35" t="n">
        <v>453484.6785072445</v>
      </c>
      <c r="G1113" s="36">
        <f>IF(F1112&gt;0,F1113/F1112-1,"")</f>
        <v/>
      </c>
      <c r="H1113" s="36">
        <f>IF(G1113="","",G1113-$D$12)</f>
        <v/>
      </c>
    </row>
    <row r="1114">
      <c r="B1114" s="34" t="inlineStr">
        <is>
          <t>2025-12-24</t>
        </is>
      </c>
      <c r="C1114" s="35" t="n">
        <v>491866.070444665</v>
      </c>
      <c r="D1114" s="36">
        <f>IF(C1113&gt;0,C1114/C1113-1,"")</f>
        <v/>
      </c>
      <c r="E1114" s="36">
        <f>IF(D1114="","",D1114-$C$12)</f>
        <v/>
      </c>
      <c r="F1114" s="35" t="n">
        <v>453623.1276778681</v>
      </c>
      <c r="G1114" s="36">
        <f>IF(F1113&gt;0,F1114/F1113-1,"")</f>
        <v/>
      </c>
      <c r="H1114" s="36">
        <f>IF(G1114="","",G1114-$D$12)</f>
        <v/>
      </c>
    </row>
    <row r="1115">
      <c r="B1115" s="34" t="inlineStr">
        <is>
          <t>2025-12-26</t>
        </is>
      </c>
      <c r="C1115" s="35" t="n">
        <v>491732.8949632524</v>
      </c>
      <c r="D1115" s="36">
        <f>IF(C1114&gt;0,C1115/C1114-1,"")</f>
        <v/>
      </c>
      <c r="E1115" s="36">
        <f>IF(D1115="","",D1115-$C$12)</f>
        <v/>
      </c>
      <c r="F1115" s="35" t="n">
        <v>453579.4517233852</v>
      </c>
      <c r="G1115" s="36">
        <f>IF(F1114&gt;0,F1115/F1114-1,"")</f>
        <v/>
      </c>
      <c r="H1115" s="36">
        <f>IF(G1115="","",G1115-$D$12)</f>
        <v/>
      </c>
    </row>
    <row r="1116">
      <c r="B1116" s="34" t="inlineStr">
        <is>
          <t>2025-12-29</t>
        </is>
      </c>
      <c r="C1116" s="35" t="n">
        <v>491465.141881547</v>
      </c>
      <c r="D1116" s="36">
        <f>IF(C1115&gt;0,C1116/C1115-1,"")</f>
        <v/>
      </c>
      <c r="E1116" s="36">
        <f>IF(D1116="","",D1116-$C$12)</f>
        <v/>
      </c>
      <c r="F1116" s="35" t="n">
        <v>453311.3558789589</v>
      </c>
      <c r="G1116" s="36">
        <f>IF(F1115&gt;0,F1116/F1115-1,"")</f>
        <v/>
      </c>
      <c r="H1116" s="36">
        <f>IF(G1116="","",G1116-$D$12)</f>
        <v/>
      </c>
    </row>
    <row r="1117">
      <c r="B1117" s="34" t="inlineStr">
        <is>
          <t>2025-12-30</t>
        </is>
      </c>
      <c r="C1117" s="35" t="n">
        <v>491991.9193613799</v>
      </c>
      <c r="D1117" s="36">
        <f>IF(C1116&gt;0,C1117/C1116-1,"")</f>
        <v/>
      </c>
      <c r="E1117" s="36">
        <f>IF(D1117="","",D1117-$C$12)</f>
        <v/>
      </c>
      <c r="F1117" s="35" t="n">
        <v>453902.6120177807</v>
      </c>
      <c r="G1117" s="36">
        <f>IF(F1116&gt;0,F1117/F1116-1,"")</f>
        <v/>
      </c>
      <c r="H1117" s="36">
        <f>IF(G1117="","",G1117-$D$12)</f>
        <v/>
      </c>
    </row>
    <row r="1118">
      <c r="B1118" s="34" t="inlineStr">
        <is>
          <t>2025-12-31</t>
        </is>
      </c>
      <c r="C1118" s="35" t="n">
        <v>492110.8852471734</v>
      </c>
      <c r="D1118" s="36">
        <f>IF(C1117&gt;0,C1118/C1117-1,"")</f>
        <v/>
      </c>
      <c r="E1118" s="36">
        <f>IF(D1118="","",D1118-$C$12)</f>
        <v/>
      </c>
      <c r="F1118" s="35" t="n">
        <v>454012.1707244965</v>
      </c>
      <c r="G1118" s="36">
        <f>IF(F1117&gt;0,F1118/F1117-1,"")</f>
        <v/>
      </c>
      <c r="H1118" s="36">
        <f>IF(G1118="","",G1118-$D$12)</f>
        <v/>
      </c>
    </row>
    <row r="1119">
      <c r="B1119" s="34" t="inlineStr">
        <is>
          <t>2026-01-02</t>
        </is>
      </c>
      <c r="C1119" s="35" t="n">
        <v>491981.9604971104</v>
      </c>
      <c r="D1119" s="36">
        <f>IF(C1118&gt;0,C1119/C1118-1,"")</f>
        <v/>
      </c>
      <c r="E1119" s="36">
        <f>IF(D1119="","",D1119-$C$12)</f>
        <v/>
      </c>
      <c r="F1119" s="35" t="n">
        <v>454121.9359926705</v>
      </c>
      <c r="G1119" s="36">
        <f>IF(F1118&gt;0,F1119/F1118-1,"")</f>
        <v/>
      </c>
      <c r="H1119" s="36">
        <f>IF(G1119="","",G1119-$D$12)</f>
        <v/>
      </c>
    </row>
    <row r="1120">
      <c r="B1120" s="34" t="inlineStr">
        <is>
          <t>2026-01-05</t>
        </is>
      </c>
      <c r="C1120" s="35" t="n">
        <v>492902.1250996757</v>
      </c>
      <c r="D1120" s="36">
        <f>IF(C1119&gt;0,C1120/C1119-1,"")</f>
        <v/>
      </c>
      <c r="E1120" s="36">
        <f>IF(D1120="","",D1120-$C$12)</f>
        <v/>
      </c>
      <c r="F1120" s="35" t="n">
        <v>454746.2966578232</v>
      </c>
      <c r="G1120" s="36">
        <f>IF(F1119&gt;0,F1120/F1119-1,"")</f>
        <v/>
      </c>
      <c r="H1120" s="36">
        <f>IF(G1120="","",G1120-$D$12)</f>
        <v/>
      </c>
    </row>
    <row r="1121">
      <c r="B1121" s="34" t="inlineStr">
        <is>
          <t>2026-01-06</t>
        </is>
      </c>
      <c r="C1121" s="35" t="n">
        <v>495567.1918127342</v>
      </c>
      <c r="D1121" s="36">
        <f>IF(C1120&gt;0,C1121/C1120-1,"")</f>
        <v/>
      </c>
      <c r="E1121" s="36">
        <f>IF(D1121="","",D1121-$C$12)</f>
        <v/>
      </c>
      <c r="F1121" s="35" t="n">
        <v>456681.7756094806</v>
      </c>
      <c r="G1121" s="36">
        <f>IF(F1120&gt;0,F1121/F1120-1,"")</f>
        <v/>
      </c>
      <c r="H1121" s="36">
        <f>IF(G1121="","",G1121-$D$12)</f>
        <v/>
      </c>
    </row>
    <row r="1122">
      <c r="B1122" s="34" t="inlineStr">
        <is>
          <t>2026-01-07</t>
        </is>
      </c>
      <c r="C1122" s="35" t="n">
        <v>494687.8009501434</v>
      </c>
      <c r="D1122" s="36">
        <f>IF(C1121&gt;0,C1122/C1121-1,"")</f>
        <v/>
      </c>
      <c r="E1122" s="36">
        <f>IF(D1122="","",D1122-$C$12)</f>
        <v/>
      </c>
      <c r="F1122" s="35" t="n">
        <v>456531.9932606395</v>
      </c>
      <c r="G1122" s="36">
        <f>IF(F1121&gt;0,F1122/F1121-1,"")</f>
        <v/>
      </c>
      <c r="H1122" s="36">
        <f>IF(G1122="","",G1122-$D$12)</f>
        <v/>
      </c>
    </row>
    <row r="1123">
      <c r="B1123" s="34" t="inlineStr">
        <is>
          <t>2026-01-08</t>
        </is>
      </c>
      <c r="C1123" s="35" t="n">
        <v>495363.7818115611</v>
      </c>
      <c r="D1123" s="36">
        <f>IF(C1122&gt;0,C1123/C1122-1,"")</f>
        <v/>
      </c>
      <c r="E1123" s="36">
        <f>IF(D1123="","",D1123-$C$12)</f>
        <v/>
      </c>
      <c r="F1123" s="35" t="n">
        <v>456737.282073135</v>
      </c>
      <c r="G1123" s="36">
        <f>IF(F1122&gt;0,F1123/F1122-1,"")</f>
        <v/>
      </c>
      <c r="H1123" s="36">
        <f>IF(G1123="","",G1123-$D$12)</f>
        <v/>
      </c>
    </row>
    <row r="1124">
      <c r="B1124" s="34" t="inlineStr">
        <is>
          <t>2026-01-09</t>
        </is>
      </c>
      <c r="C1124" s="35" t="n">
        <v>495826.936115092</v>
      </c>
      <c r="D1124" s="36">
        <f>IF(C1123&gt;0,C1124/C1123-1,"")</f>
        <v/>
      </c>
      <c r="E1124" s="36">
        <f>IF(D1124="","",D1124-$C$12)</f>
        <v/>
      </c>
      <c r="F1124" s="35" t="n">
        <v>457810.7452454656</v>
      </c>
      <c r="G1124" s="36">
        <f>IF(F1123&gt;0,F1124/F1123-1,"")</f>
        <v/>
      </c>
      <c r="H1124" s="36">
        <f>IF(G1124="","",G1124-$D$12)</f>
        <v/>
      </c>
    </row>
    <row r="1125">
      <c r="B1125" s="34" t="inlineStr">
        <is>
          <t>2026-01-12</t>
        </is>
      </c>
      <c r="C1125" s="35" t="n">
        <v>495936.7894871093</v>
      </c>
      <c r="D1125" s="36">
        <f>IF(C1124&gt;0,C1125/C1124-1,"")</f>
        <v/>
      </c>
      <c r="E1125" s="36">
        <f>IF(D1125="","",D1125-$C$12)</f>
        <v/>
      </c>
      <c r="F1125" s="35" t="n">
        <v>458487.0438920583</v>
      </c>
      <c r="G1125" s="36">
        <f>IF(F1124&gt;0,F1125/F1124-1,"")</f>
        <v/>
      </c>
      <c r="H1125" s="36">
        <f>IF(G1125="","",G1125-$D$12)</f>
        <v/>
      </c>
    </row>
    <row r="1126">
      <c r="B1126" s="34" t="inlineStr">
        <is>
          <t>2026-01-13</t>
        </is>
      </c>
      <c r="C1126" s="35" t="n">
        <v>495453.8871385849</v>
      </c>
      <c r="D1126" s="36">
        <f>IF(C1125&gt;0,C1126/C1125-1,"")</f>
        <v/>
      </c>
      <c r="E1126" s="36">
        <f>IF(D1126="","",D1126-$C$12)</f>
        <v/>
      </c>
      <c r="F1126" s="35" t="n">
        <v>458473.8154543464</v>
      </c>
      <c r="G1126" s="36">
        <f>IF(F1125&gt;0,F1126/F1125-1,"")</f>
        <v/>
      </c>
      <c r="H1126" s="36">
        <f>IF(G1126="","",G1126-$D$12)</f>
        <v/>
      </c>
    </row>
    <row r="1127">
      <c r="B1127" s="34" t="inlineStr">
        <is>
          <t>2026-01-14</t>
        </is>
      </c>
      <c r="C1127" s="35" t="n">
        <v>498843.8688064951</v>
      </c>
      <c r="D1127" s="36">
        <f>IF(C1126&gt;0,C1127/C1126-1,"")</f>
        <v/>
      </c>
      <c r="E1127" s="36">
        <f>IF(D1127="","",D1127-$C$12)</f>
        <v/>
      </c>
      <c r="F1127" s="35" t="n">
        <v>461766.7584964042</v>
      </c>
      <c r="G1127" s="36">
        <f>IF(F1126&gt;0,F1127/F1126-1,"")</f>
        <v/>
      </c>
      <c r="H1127" s="36">
        <f>IF(G1127="","",G1127-$D$12)</f>
        <v/>
      </c>
    </row>
    <row r="1128">
      <c r="B1128" s="34" t="inlineStr">
        <is>
          <t>2026-01-15</t>
        </is>
      </c>
      <c r="C1128" s="35" t="n">
        <v>499158.3264955513</v>
      </c>
      <c r="D1128" s="36">
        <f>IF(C1127&gt;0,C1128/C1127-1,"")</f>
        <v/>
      </c>
      <c r="E1128" s="36">
        <f>IF(D1128="","",D1128-$C$12)</f>
        <v/>
      </c>
      <c r="F1128" s="35" t="n">
        <v>463055.738809265</v>
      </c>
      <c r="G1128" s="36">
        <f>IF(F1127&gt;0,F1128/F1127-1,"")</f>
        <v/>
      </c>
      <c r="H1128" s="36">
        <f>IF(G1128="","",G1128-$D$12)</f>
        <v/>
      </c>
    </row>
    <row r="1129">
      <c r="B1129" s="34" t="inlineStr">
        <is>
          <t>2026-01-16</t>
        </is>
      </c>
      <c r="C1129" s="35" t="n">
        <v>499352.0132733206</v>
      </c>
      <c r="D1129" s="36">
        <f>IF(C1128&gt;0,C1129/C1128-1,"")</f>
        <v/>
      </c>
      <c r="E1129" s="36">
        <f>IF(D1129="","",D1129-$C$12)</f>
        <v/>
      </c>
      <c r="F1129" s="35" t="n">
        <v>463176.0273774811</v>
      </c>
      <c r="G1129" s="36">
        <f>IF(F1128&gt;0,F1129/F1128-1,"")</f>
        <v/>
      </c>
      <c r="H1129" s="36">
        <f>IF(G1129="","",G1129-$D$12)</f>
        <v/>
      </c>
    </row>
    <row r="1130">
      <c r="B1130" s="34" t="inlineStr">
        <is>
          <t>2026-01-19</t>
        </is>
      </c>
      <c r="C1130" s="35" t="n">
        <v>498078.7012815297</v>
      </c>
      <c r="D1130" s="36">
        <f>IF(C1129&gt;0,C1130/C1129-1,"")</f>
        <v/>
      </c>
      <c r="E1130" s="36">
        <f>IF(D1130="","",D1130-$C$12)</f>
        <v/>
      </c>
      <c r="F1130" s="35" t="n">
        <v>461776.105043133</v>
      </c>
      <c r="G1130" s="36">
        <f>IF(F1129&gt;0,F1130/F1129-1,"")</f>
        <v/>
      </c>
      <c r="H1130" s="36">
        <f>IF(G1130="","",G1130-$D$12)</f>
        <v/>
      </c>
    </row>
    <row r="1131">
      <c r="B1131" s="34" t="inlineStr">
        <is>
          <t>2026-01-20</t>
        </is>
      </c>
      <c r="C1131" s="35" t="n">
        <v>495320.1787981535</v>
      </c>
      <c r="D1131" s="36">
        <f>IF(C1130&gt;0,C1131/C1130-1,"")</f>
        <v/>
      </c>
      <c r="E1131" s="36">
        <f>IF(D1131="","",D1131-$C$12)</f>
        <v/>
      </c>
      <c r="F1131" s="35" t="n">
        <v>459704.4952206272</v>
      </c>
      <c r="G1131" s="36">
        <f>IF(F1130&gt;0,F1131/F1130-1,"")</f>
        <v/>
      </c>
      <c r="H1131" s="36">
        <f>IF(G1131="","",G1131-$D$12)</f>
        <v/>
      </c>
    </row>
    <row r="1132">
      <c r="B1132" s="34" t="inlineStr">
        <is>
          <t>2026-01-21</t>
        </is>
      </c>
      <c r="C1132" s="35" t="n">
        <v>494637.7987467447</v>
      </c>
      <c r="D1132" s="36">
        <f>IF(C1131&gt;0,C1132/C1131-1,"")</f>
        <v/>
      </c>
      <c r="E1132" s="36">
        <f>IF(D1132="","",D1132-$C$12)</f>
        <v/>
      </c>
      <c r="F1132" s="35" t="n">
        <v>459626.5394609792</v>
      </c>
      <c r="G1132" s="36">
        <f>IF(F1131&gt;0,F1132/F1131-1,"")</f>
        <v/>
      </c>
      <c r="H1132" s="36">
        <f>IF(G1132="","",G1132-$D$12)</f>
        <v/>
      </c>
    </row>
    <row r="1133">
      <c r="B1133" s="34" t="inlineStr">
        <is>
          <t>2026-01-22</t>
        </is>
      </c>
      <c r="C1133" s="35" t="n">
        <v>496909.2603515835</v>
      </c>
      <c r="D1133" s="36">
        <f>IF(C1132&gt;0,C1133/C1132-1,"")</f>
        <v/>
      </c>
      <c r="E1133" s="36">
        <f>IF(D1133="","",D1133-$C$12)</f>
        <v/>
      </c>
      <c r="F1133" s="35" t="n">
        <v>462117.699949169</v>
      </c>
      <c r="G1133" s="36">
        <f>IF(F1132&gt;0,F1133/F1132-1,"")</f>
        <v/>
      </c>
      <c r="H1133" s="36">
        <f>IF(G1133="","",G1133-$D$12)</f>
        <v/>
      </c>
    </row>
    <row r="1134">
      <c r="B1134" s="34" t="inlineStr">
        <is>
          <t>2026-01-23</t>
        </is>
      </c>
      <c r="C1134" s="35" t="n">
        <v>495383.0268153034</v>
      </c>
      <c r="D1134" s="36">
        <f>IF(C1133&gt;0,C1134/C1133-1,"")</f>
        <v/>
      </c>
      <c r="E1134" s="36">
        <f>IF(D1134="","",D1134-$C$12)</f>
        <v/>
      </c>
      <c r="F1134" s="35" t="n">
        <v>460796.5393983009</v>
      </c>
      <c r="G1134" s="36">
        <f>IF(F1133&gt;0,F1134/F1133-1,"")</f>
        <v/>
      </c>
      <c r="H1134" s="36">
        <f>IF(G1134="","",G1134-$D$12)</f>
        <v/>
      </c>
    </row>
    <row r="1135">
      <c r="B1135" s="34" t="inlineStr">
        <is>
          <t>2026-01-26</t>
        </is>
      </c>
      <c r="C1135" s="35" t="n">
        <v>493917.4716690652</v>
      </c>
      <c r="D1135" s="36">
        <f>IF(C1134&gt;0,C1135/C1134-1,"")</f>
        <v/>
      </c>
      <c r="E1135" s="36">
        <f>IF(D1135="","",D1135-$C$12)</f>
        <v/>
      </c>
      <c r="F1135" s="35" t="n">
        <v>459271.690183621</v>
      </c>
      <c r="G1135" s="36">
        <f>IF(F1134&gt;0,F1135/F1134-1,"")</f>
        <v/>
      </c>
      <c r="H1135" s="36">
        <f>IF(G1135="","",G1135-$D$12)</f>
        <v/>
      </c>
    </row>
    <row r="1136">
      <c r="B1136" s="34" t="inlineStr">
        <is>
          <t>2026-01-27</t>
        </is>
      </c>
      <c r="C1136" s="35" t="n">
        <v>496014.9108705224</v>
      </c>
      <c r="D1136" s="36">
        <f>IF(C1135&gt;0,C1136/C1135-1,"")</f>
        <v/>
      </c>
      <c r="E1136" s="36">
        <f>IF(D1136="","",D1136-$C$12)</f>
        <v/>
      </c>
      <c r="F1136" s="35" t="n">
        <v>461419.6539878072</v>
      </c>
      <c r="G1136" s="36">
        <f>IF(F1135&gt;0,F1136/F1135-1,"")</f>
        <v/>
      </c>
      <c r="H1136" s="36">
        <f>IF(G1136="","",G1136-$D$12)</f>
        <v/>
      </c>
    </row>
    <row r="1137">
      <c r="B1137" s="34" t="inlineStr">
        <is>
          <t>2026-01-28</t>
        </is>
      </c>
      <c r="C1137" s="35" t="n">
        <v>495410.3131480266</v>
      </c>
      <c r="D1137" s="36">
        <f>IF(C1136&gt;0,C1137/C1136-1,"")</f>
        <v/>
      </c>
      <c r="E1137" s="36">
        <f>IF(D1137="","",D1137-$C$12)</f>
        <v/>
      </c>
      <c r="F1137" s="35" t="n">
        <v>460600.0038358622</v>
      </c>
      <c r="G1137" s="36">
        <f>IF(F1136&gt;0,F1137/F1136-1,"")</f>
        <v/>
      </c>
      <c r="H1137" s="36">
        <f>IF(G1137="","",G1137-$D$12)</f>
        <v/>
      </c>
    </row>
    <row r="1138">
      <c r="B1138" s="34" t="inlineStr">
        <is>
          <t>2026-01-29</t>
        </is>
      </c>
      <c r="C1138" s="35" t="n">
        <v>496271.9372658479</v>
      </c>
      <c r="D1138" s="36">
        <f>IF(C1137&gt;0,C1138/C1137-1,"")</f>
        <v/>
      </c>
      <c r="E1138" s="36">
        <f>IF(D1138="","",D1138-$C$12)</f>
        <v/>
      </c>
      <c r="F1138" s="35" t="n">
        <v>462179.5635555089</v>
      </c>
      <c r="G1138" s="36">
        <f>IF(F1137&gt;0,F1138/F1137-1,"")</f>
        <v/>
      </c>
      <c r="H1138" s="36">
        <f>IF(G1138="","",G1138-$D$12)</f>
        <v/>
      </c>
    </row>
    <row r="1139">
      <c r="B1139" s="34" t="inlineStr">
        <is>
          <t>2026-01-30</t>
        </is>
      </c>
      <c r="C1139" s="35" t="n">
        <v>495439.6674053542</v>
      </c>
      <c r="D1139" s="36">
        <f>IF(C1138&gt;0,C1139/C1138-1,"")</f>
        <v/>
      </c>
      <c r="E1139" s="36">
        <f>IF(D1139="","",D1139-$C$12)</f>
        <v/>
      </c>
      <c r="F1139" s="35" t="n">
        <v>461744.1700234985</v>
      </c>
      <c r="G1139" s="36">
        <f>IF(F1138&gt;0,F1139/F1138-1,"")</f>
        <v/>
      </c>
      <c r="H1139" s="36">
        <f>IF(G1139="","",G1139-$D$12)</f>
        <v/>
      </c>
    </row>
    <row r="1140">
      <c r="B1140" s="34" t="inlineStr">
        <is>
          <t>2026-02-02</t>
        </is>
      </c>
      <c r="C1140" s="35" t="n">
        <v>497663.4912178722</v>
      </c>
      <c r="D1140" s="36">
        <f>IF(C1139&gt;0,C1140/C1139-1,"")</f>
        <v/>
      </c>
      <c r="E1140" s="36">
        <f>IF(D1140="","",D1140-$C$12)</f>
        <v/>
      </c>
      <c r="F1140" s="35" t="n">
        <v>463810.29336698</v>
      </c>
      <c r="G1140" s="36">
        <f>IF(F1139&gt;0,F1140/F1139-1,"")</f>
        <v/>
      </c>
      <c r="H1140" s="36">
        <f>IF(G1140="","",G1140-$D$12)</f>
        <v/>
      </c>
    </row>
    <row r="1141">
      <c r="B1141" s="34" t="inlineStr">
        <is>
          <t>2026-02-03</t>
        </is>
      </c>
      <c r="C1141" s="35" t="n">
        <v>498501.6487198366</v>
      </c>
      <c r="D1141" s="36">
        <f>IF(C1140&gt;0,C1141/C1140-1,"")</f>
        <v/>
      </c>
      <c r="E1141" s="36">
        <f>IF(D1141="","",D1141-$C$12)</f>
        <v/>
      </c>
      <c r="F1141" s="35" t="n">
        <v>465418.7788408828</v>
      </c>
      <c r="G1141" s="36">
        <f>IF(F1140&gt;0,F1141/F1140-1,"")</f>
        <v/>
      </c>
      <c r="H1141" s="36">
        <f>IF(G1141="","",G1141-$D$12)</f>
        <v/>
      </c>
    </row>
    <row r="1142">
      <c r="B1142" s="34" t="inlineStr">
        <is>
          <t>2026-02-04</t>
        </is>
      </c>
      <c r="C1142" s="35" t="n">
        <v>498606.8048984724</v>
      </c>
      <c r="D1142" s="36">
        <f>IF(C1141&gt;0,C1142/C1141-1,"")</f>
        <v/>
      </c>
      <c r="E1142" s="36">
        <f>IF(D1142="","",D1142-$C$12)</f>
        <v/>
      </c>
      <c r="F1142" s="35" t="n">
        <v>466680.1878117376</v>
      </c>
      <c r="G1142" s="36">
        <f>IF(F1141&gt;0,F1142/F1141-1,"")</f>
        <v/>
      </c>
      <c r="H1142" s="36">
        <f>IF(G1142="","",G1142-$D$12)</f>
        <v/>
      </c>
    </row>
    <row r="1143">
      <c r="B1143" s="34" t="inlineStr">
        <is>
          <t>2026-02-05</t>
        </is>
      </c>
      <c r="C1143" s="35" t="n">
        <v>495327.3272515213</v>
      </c>
      <c r="D1143" s="36">
        <f>IF(C1142&gt;0,C1143/C1142-1,"")</f>
        <v/>
      </c>
      <c r="E1143" s="36">
        <f>IF(D1143="","",D1143-$C$12)</f>
        <v/>
      </c>
      <c r="F1143" s="35" t="n">
        <v>464138.3679360786</v>
      </c>
      <c r="G1143" s="36">
        <f>IF(F1142&gt;0,F1143/F1142-1,"")</f>
        <v/>
      </c>
      <c r="H1143" s="36">
        <f>IF(G1143="","",G1143-$D$12)</f>
        <v/>
      </c>
    </row>
    <row r="1144">
      <c r="B1144" s="34" t="inlineStr">
        <is>
          <t>2026-02-06</t>
        </is>
      </c>
      <c r="C1144" s="35" t="n">
        <v>497816.741335163</v>
      </c>
      <c r="D1144" s="36">
        <f>IF(C1143&gt;0,C1144/C1143-1,"")</f>
        <v/>
      </c>
      <c r="E1144" s="36">
        <f>IF(D1144="","",D1144-$C$12)</f>
        <v/>
      </c>
      <c r="F1144" s="35" t="n">
        <v>466164.2501003259</v>
      </c>
      <c r="G1144" s="36">
        <f>IF(F1143&gt;0,F1144/F1143-1,"")</f>
        <v/>
      </c>
      <c r="H1144" s="36">
        <f>IF(G1144="","",G1144-$D$12)</f>
        <v/>
      </c>
    </row>
    <row r="1145">
      <c r="B1145" s="34" t="inlineStr">
        <is>
          <t>2026-02-09</t>
        </is>
      </c>
      <c r="C1145" s="35" t="n">
        <v>499806.314781366</v>
      </c>
      <c r="D1145" s="36">
        <f>IF(C1144&gt;0,C1145/C1144-1,"")</f>
        <v/>
      </c>
      <c r="E1145" s="36">
        <f>IF(D1145="","",D1145-$C$12)</f>
        <v/>
      </c>
      <c r="F1145" s="35" t="n">
        <v>467965.996164008</v>
      </c>
      <c r="G1145" s="36">
        <f>IF(F1144&gt;0,F1145/F1144-1,"")</f>
        <v/>
      </c>
      <c r="H1145" s="36">
        <f>IF(G1145="","",G1145-$D$12)</f>
        <v/>
      </c>
    </row>
    <row r="1146">
      <c r="B1146" s="34" t="inlineStr">
        <is>
          <t>2026-02-10</t>
        </is>
      </c>
      <c r="C1146" s="35" t="n">
        <v>497840.8049090825</v>
      </c>
      <c r="D1146" s="36">
        <f>IF(C1145&gt;0,C1146/C1145-1,"")</f>
        <v/>
      </c>
      <c r="E1146" s="36">
        <f>IF(D1146="","",D1146-$C$12)</f>
        <v/>
      </c>
      <c r="F1146" s="35" t="n">
        <v>466590.3482417754</v>
      </c>
      <c r="G1146" s="36">
        <f>IF(F1145&gt;0,F1146/F1145-1,"")</f>
        <v/>
      </c>
      <c r="H1146" s="36">
        <f>IF(G1146="","",G1146-$D$12)</f>
        <v/>
      </c>
    </row>
    <row r="1147">
      <c r="B1147" s="34" t="inlineStr">
        <is>
          <t>2026-02-11</t>
        </is>
      </c>
      <c r="C1147" s="35" t="n">
        <v>498984.8012292186</v>
      </c>
      <c r="D1147" s="36">
        <f>IF(C1146&gt;0,C1147/C1146-1,"")</f>
        <v/>
      </c>
      <c r="E1147" s="36">
        <f>IF(D1147="","",D1147-$C$12)</f>
        <v/>
      </c>
      <c r="F1147" s="35" t="n">
        <v>467817.8984193094</v>
      </c>
      <c r="G1147" s="36">
        <f>IF(F1146&gt;0,F1147/F1146-1,"")</f>
        <v/>
      </c>
      <c r="H1147" s="36">
        <f>IF(G1147="","",G1147-$D$12)</f>
        <v/>
      </c>
    </row>
    <row r="1148">
      <c r="B1148" s="34" t="inlineStr">
        <is>
          <t>2026-02-12</t>
        </is>
      </c>
      <c r="C1148" s="35" t="n">
        <v>497416.7144899323</v>
      </c>
      <c r="D1148" s="36">
        <f>IF(C1147&gt;0,C1148/C1147-1,"")</f>
        <v/>
      </c>
      <c r="E1148" s="36">
        <f>IF(D1148="","",D1148-$C$12)</f>
        <v/>
      </c>
      <c r="F1148" s="35" t="n">
        <v>466061.5577850246</v>
      </c>
      <c r="G1148" s="36">
        <f>IF(F1147&gt;0,F1148/F1147-1,"")</f>
        <v/>
      </c>
      <c r="H1148" s="36">
        <f>IF(G1148="","",G1148-$D$12)</f>
        <v/>
      </c>
    </row>
    <row r="1149">
      <c r="B1149" s="34" t="inlineStr">
        <is>
          <t>2026-02-13</t>
        </is>
      </c>
      <c r="C1149" s="35" t="n">
        <v>497851.5644520529</v>
      </c>
      <c r="D1149" s="36">
        <f>IF(C1148&gt;0,C1149/C1148-1,"")</f>
        <v/>
      </c>
      <c r="E1149" s="36">
        <f>IF(D1149="","",D1149-$C$12)</f>
        <v/>
      </c>
      <c r="F1149" s="35" t="n">
        <v>466711.7232687053</v>
      </c>
      <c r="G1149" s="36">
        <f>IF(F1148&gt;0,F1149/F1148-1,"")</f>
        <v/>
      </c>
      <c r="H1149" s="36">
        <f>IF(G1149="","",G1149-$D$12)</f>
        <v/>
      </c>
    </row>
    <row r="1150">
      <c r="B1150" s="34" t="inlineStr">
        <is>
          <t>2026-02-16</t>
        </is>
      </c>
      <c r="C1150" s="35" t="n">
        <v>498283.7222010829</v>
      </c>
      <c r="D1150" s="36">
        <f>IF(C1149&gt;0,C1150/C1149-1,"")</f>
        <v/>
      </c>
      <c r="E1150" s="36">
        <f>IF(D1150="","",D1150-$C$12)</f>
        <v/>
      </c>
      <c r="F1150" s="35" t="n">
        <v>466775.4106444282</v>
      </c>
      <c r="G1150" s="36">
        <f>IF(F1149&gt;0,F1150/F1149-1,"")</f>
        <v/>
      </c>
      <c r="H1150" s="36">
        <f>IF(G1150="","",G1150-$D$12)</f>
        <v/>
      </c>
    </row>
    <row r="1151">
      <c r="B1151" s="34" t="inlineStr">
        <is>
          <t>2026-02-17</t>
        </is>
      </c>
      <c r="C1151" s="35" t="n">
        <v>500328.3009010788</v>
      </c>
      <c r="D1151" s="36">
        <f>IF(C1150&gt;0,C1151/C1150-1,"")</f>
        <v/>
      </c>
      <c r="E1151" s="36">
        <f>IF(D1151="","",D1151-$C$12)</f>
        <v/>
      </c>
      <c r="F1151" s="35" t="n">
        <v>468551.3272616871</v>
      </c>
      <c r="G1151" s="36">
        <f>IF(F1150&gt;0,F1151/F1150-1,"")</f>
        <v/>
      </c>
      <c r="H1151" s="36">
        <f>IF(G1151="","",G1151-$D$12)</f>
        <v/>
      </c>
    </row>
    <row r="1152">
      <c r="B1152" s="34" t="inlineStr">
        <is>
          <t>2026-02-18</t>
        </is>
      </c>
      <c r="C1152" s="35" t="n">
        <v>501865.7640290448</v>
      </c>
      <c r="D1152" s="36">
        <f>IF(C1151&gt;0,C1152/C1151-1,"")</f>
        <v/>
      </c>
      <c r="E1152" s="36">
        <f>IF(D1152="","",D1152-$C$12)</f>
        <v/>
      </c>
      <c r="F1152" s="35" t="n">
        <v>470574.1248116537</v>
      </c>
      <c r="G1152" s="36">
        <f>IF(F1151&gt;0,F1152/F1151-1,"")</f>
        <v/>
      </c>
      <c r="H1152" s="36">
        <f>IF(G1152="","",G1152-$D$12)</f>
        <v/>
      </c>
    </row>
    <row r="1153">
      <c r="B1153" s="34" t="inlineStr">
        <is>
          <t>2026-02-19</t>
        </is>
      </c>
      <c r="C1153" s="35" t="n">
        <v>501631.6874858588</v>
      </c>
      <c r="D1153" s="36">
        <f>IF(C1152&gt;0,C1153/C1152-1,"")</f>
        <v/>
      </c>
      <c r="E1153" s="36">
        <f>IF(D1153="","",D1153-$C$12)</f>
        <v/>
      </c>
      <c r="F1153" s="35" t="n">
        <v>470515.1481884171</v>
      </c>
      <c r="G1153" s="36">
        <f>IF(F1152&gt;0,F1153/F1152-1,"")</f>
        <v/>
      </c>
      <c r="H1153" s="36">
        <f>IF(G1153="","",G1153-$D$12)</f>
        <v/>
      </c>
    </row>
    <row r="1154">
      <c r="B1154" s="34" t="inlineStr">
        <is>
          <t>2026-02-20</t>
        </is>
      </c>
      <c r="C1154" s="35" t="n">
        <v>503711.3316274877</v>
      </c>
      <c r="D1154" s="36">
        <f>IF(C1153&gt;0,C1154/C1153-1,"")</f>
        <v/>
      </c>
      <c r="E1154" s="36">
        <f>IF(D1154="","",D1154-$C$12)</f>
        <v/>
      </c>
      <c r="F1154" s="35" t="n">
        <v>471771.9573719375</v>
      </c>
      <c r="G1154" s="36">
        <f>IF(F1153&gt;0,F1154/F1153-1,"")</f>
        <v/>
      </c>
      <c r="H1154" s="36">
        <f>IF(G1154="","",G1154-$D$12)</f>
        <v/>
      </c>
    </row>
    <row r="1155">
      <c r="B1155" s="34" t="inlineStr">
        <is>
          <t>2026-02-23</t>
        </is>
      </c>
      <c r="C1155" s="35" t="n">
        <v>503833.1600837221</v>
      </c>
      <c r="D1155" s="36">
        <f>IF(C1154&gt;0,C1155/C1154-1,"")</f>
        <v/>
      </c>
      <c r="E1155" s="36">
        <f>IF(D1155="","",D1155-$C$12)</f>
        <v/>
      </c>
      <c r="F1155" s="35" t="n">
        <v>472253.2644934816</v>
      </c>
      <c r="G1155" s="36">
        <f>IF(F1154&gt;0,F1155/F1154-1,"")</f>
        <v/>
      </c>
      <c r="H1155" s="36">
        <f>IF(G1155="","",G1155-$D$12)</f>
        <v/>
      </c>
    </row>
    <row r="1156">
      <c r="B1156" s="34" t="inlineStr">
        <is>
          <t>2026-02-24</t>
        </is>
      </c>
      <c r="C1156" s="35" t="n">
        <v>504567.9440928551</v>
      </c>
      <c r="D1156" s="36">
        <f>IF(C1155&gt;0,C1156/C1155-1,"")</f>
        <v/>
      </c>
      <c r="E1156" s="36">
        <f>IF(D1156="","",D1156-$C$12)</f>
        <v/>
      </c>
      <c r="F1156" s="35" t="n">
        <v>472894.8304762374</v>
      </c>
      <c r="G1156" s="36">
        <f>IF(F1155&gt;0,F1156/F1155-1,"")</f>
        <v/>
      </c>
      <c r="H1156" s="36">
        <f>IF(G1156="","",G1156-$D$12)</f>
        <v/>
      </c>
    </row>
    <row r="1157">
      <c r="B1157" s="34" t="inlineStr">
        <is>
          <t>2026-02-25</t>
        </is>
      </c>
      <c r="C1157" s="35" t="n">
        <v>505910.3427948926</v>
      </c>
      <c r="D1157" s="36">
        <f>IF(C1156&gt;0,C1157/C1156-1,"")</f>
        <v/>
      </c>
      <c r="E1157" s="36">
        <f>IF(D1157="","",D1157-$C$12)</f>
        <v/>
      </c>
      <c r="F1157" s="35" t="n">
        <v>474085.9034676442</v>
      </c>
      <c r="G1157" s="36">
        <f>IF(F1156&gt;0,F1157/F1156-1,"")</f>
        <v/>
      </c>
      <c r="H1157" s="36">
        <f>IF(G1157="","",G1157-$D$12)</f>
        <v/>
      </c>
    </row>
    <row r="1158">
      <c r="B1158" s="34" t="inlineStr">
        <is>
          <t>2026-02-26</t>
        </is>
      </c>
      <c r="C1158" s="35" t="n">
        <v>503634.996902362</v>
      </c>
      <c r="D1158" s="36">
        <f>IF(C1157&gt;0,C1158/C1157-1,"")</f>
        <v/>
      </c>
      <c r="E1158" s="36">
        <f>IF(D1158="","",D1158-$C$12)</f>
        <v/>
      </c>
      <c r="F1158" s="35" t="n">
        <v>472824.4933527851</v>
      </c>
      <c r="G1158" s="36">
        <f>IF(F1157&gt;0,F1158/F1157-1,"")</f>
        <v/>
      </c>
      <c r="H1158" s="36">
        <f>IF(G1158="","",G1158-$D$12)</f>
        <v/>
      </c>
    </row>
    <row r="1159">
      <c r="B1159" s="34" t="inlineStr">
        <is>
          <t>2026-02-27</t>
        </is>
      </c>
      <c r="C1159" s="35" t="n">
        <v>505861.7387366535</v>
      </c>
      <c r="D1159" s="36">
        <f>IF(C1158&gt;0,C1159/C1158-1,"")</f>
        <v/>
      </c>
      <c r="E1159" s="36">
        <f>IF(D1159="","",D1159-$C$12)</f>
        <v/>
      </c>
      <c r="F1159" s="35" t="n">
        <v>475397.0433870839</v>
      </c>
      <c r="G1159" s="36">
        <f>IF(F1158&gt;0,F1159/F1158-1,"")</f>
        <v/>
      </c>
      <c r="H1159" s="36">
        <f>IF(G1159="","",G1159-$D$12)</f>
        <v/>
      </c>
    </row>
    <row r="1160">
      <c r="B1160" s="34" t="inlineStr">
        <is>
          <t>2026-03-02</t>
        </is>
      </c>
      <c r="C1160" s="35" t="n">
        <v>505325.0958003633</v>
      </c>
      <c r="D1160" s="36">
        <f>IF(C1159&gt;0,C1160/C1159-1,"")</f>
        <v/>
      </c>
      <c r="E1160" s="36">
        <f>IF(D1160="","",D1160-$C$12)</f>
        <v/>
      </c>
      <c r="F1160" s="35" t="n">
        <v>474957.9643910797</v>
      </c>
      <c r="G1160" s="36">
        <f>IF(F1159&gt;0,F1160/F1159-1,"")</f>
        <v/>
      </c>
      <c r="H1160" s="36">
        <f>IF(G1160="","",G1160-$D$12)</f>
        <v/>
      </c>
    </row>
    <row r="1161">
      <c r="B1161" s="34" t="inlineStr">
        <is>
          <t>2026-03-03</t>
        </is>
      </c>
      <c r="C1161" s="35" t="n">
        <v>497038.9116922806</v>
      </c>
      <c r="D1161" s="36">
        <f>IF(C1160&gt;0,C1161/C1160-1,"")</f>
        <v/>
      </c>
      <c r="E1161" s="36">
        <f>IF(D1161="","",D1161-$C$12)</f>
        <v/>
      </c>
      <c r="F1161" s="35" t="n">
        <v>467704.7288114968</v>
      </c>
      <c r="G1161" s="36">
        <f>IF(F1160&gt;0,F1161/F1160-1,"")</f>
        <v/>
      </c>
      <c r="H1161" s="36">
        <f>IF(G1161="","",G1161-$D$12)</f>
        <v/>
      </c>
    </row>
    <row r="1162">
      <c r="B1162" s="34" t="inlineStr">
        <is>
          <t>2026-03-04</t>
        </is>
      </c>
      <c r="C1162" s="35" t="n">
        <v>501918.1058584914</v>
      </c>
      <c r="D1162" s="36">
        <f>IF(C1161&gt;0,C1162/C1161-1,"")</f>
        <v/>
      </c>
      <c r="E1162" s="36">
        <f>IF(D1162="","",D1162-$C$12)</f>
        <v/>
      </c>
      <c r="F1162" s="35" t="n">
        <v>472639.1441272934</v>
      </c>
      <c r="G1162" s="36">
        <f>IF(F1161&gt;0,F1162/F1161-1,"")</f>
        <v/>
      </c>
      <c r="H1162" s="36">
        <f>IF(G1162="","",G1162-$D$12)</f>
        <v/>
      </c>
    </row>
    <row r="1163">
      <c r="B1163" s="34" t="inlineStr">
        <is>
          <t>2026-03-05</t>
        </is>
      </c>
      <c r="C1163" s="35" t="n">
        <v>498275.4140220388</v>
      </c>
      <c r="D1163" s="36">
        <f>IF(C1162&gt;0,C1163/C1162-1,"")</f>
        <v/>
      </c>
      <c r="E1163" s="36">
        <f>IF(D1163="","",D1163-$C$12)</f>
        <v/>
      </c>
      <c r="F1163" s="35" t="n">
        <v>469365.5299654139</v>
      </c>
      <c r="G1163" s="36">
        <f>IF(F1162&gt;0,F1163/F1162-1,"")</f>
        <v/>
      </c>
      <c r="H1163" s="36">
        <f>IF(G1163="","",G1163-$D$12)</f>
        <v/>
      </c>
    </row>
    <row r="1164">
      <c r="B1164" s="34" t="inlineStr">
        <is>
          <t>2026-03-06</t>
        </is>
      </c>
      <c r="C1164" s="35" t="n">
        <v>495235.3194952704</v>
      </c>
      <c r="D1164" s="36">
        <f>IF(C1163&gt;0,C1164/C1163-1,"")</f>
        <v/>
      </c>
      <c r="E1164" s="36">
        <f>IF(D1164="","",D1164-$C$12)</f>
        <v/>
      </c>
      <c r="F1164" s="35" t="n">
        <v>466542.1610033425</v>
      </c>
      <c r="G1164" s="36">
        <f>IF(F1163&gt;0,F1164/F1163-1,"")</f>
        <v/>
      </c>
      <c r="H1164" s="36">
        <f>IF(G1164="","",G1164-$D$12)</f>
        <v/>
      </c>
    </row>
    <row r="1165">
      <c r="B1165" s="34" t="inlineStr">
        <is>
          <t>2026-03-09</t>
        </is>
      </c>
      <c r="C1165" s="35" t="n">
        <v>492791.2508886667</v>
      </c>
      <c r="D1165" s="36">
        <f>IF(C1164&gt;0,C1165/C1164-1,"")</f>
        <v/>
      </c>
      <c r="E1165" s="36">
        <f>IF(D1165="","",D1165-$C$12)</f>
        <v/>
      </c>
      <c r="F1165" s="35" t="n">
        <v>464233.9987658598</v>
      </c>
      <c r="G1165" s="36">
        <f>IF(F1164&gt;0,F1165/F1164-1,"")</f>
        <v/>
      </c>
      <c r="H1165" s="36">
        <f>IF(G1165="","",G1165-$D$12)</f>
        <v/>
      </c>
    </row>
    <row r="1166">
      <c r="B1166" s="34" t="inlineStr">
        <is>
          <t>2026-03-10</t>
        </is>
      </c>
      <c r="C1166" s="35" t="n">
        <v>494809.8053247677</v>
      </c>
      <c r="D1166" s="36">
        <f>IF(C1165&gt;0,C1166/C1165-1,"")</f>
        <v/>
      </c>
      <c r="E1166" s="36">
        <f>IF(D1166="","",D1166-$C$12)</f>
        <v/>
      </c>
      <c r="F1166" s="35" t="n">
        <v>466883.3066472319</v>
      </c>
      <c r="G1166" s="36">
        <f>IF(F1165&gt;0,F1166/F1165-1,"")</f>
        <v/>
      </c>
      <c r="H1166" s="36">
        <f>IF(G1166="","",G1166-$D$12)</f>
        <v/>
      </c>
    </row>
    <row r="1167">
      <c r="B1167" s="34" t="inlineStr">
        <is>
          <t>2026-03-11</t>
        </is>
      </c>
      <c r="C1167" s="35" t="n">
        <v>493051.4114602952</v>
      </c>
      <c r="D1167" s="36">
        <f>IF(C1166&gt;0,C1167/C1166-1,"")</f>
        <v/>
      </c>
      <c r="E1167" s="36">
        <f>IF(D1167="","",D1167-$C$12)</f>
        <v/>
      </c>
      <c r="F1167" s="35" t="n">
        <v>465638.9256771697</v>
      </c>
      <c r="G1167" s="36">
        <f>IF(F1166&gt;0,F1167/F1166-1,"")</f>
        <v/>
      </c>
      <c r="H1167" s="36">
        <f>IF(G1167="","",G1167-$D$12)</f>
        <v/>
      </c>
    </row>
    <row r="1168">
      <c r="B1168" s="34" t="inlineStr">
        <is>
          <t>2026-03-12</t>
        </is>
      </c>
      <c r="C1168" s="35" t="n">
        <v>490630.4572120513</v>
      </c>
      <c r="D1168" s="36">
        <f>IF(C1167&gt;0,C1168/C1167-1,"")</f>
        <v/>
      </c>
      <c r="E1168" s="36">
        <f>IF(D1168="","",D1168-$C$12)</f>
        <v/>
      </c>
      <c r="F1168" s="35" t="n">
        <v>463424.457443982</v>
      </c>
      <c r="G1168" s="36">
        <f>IF(F1167&gt;0,F1168/F1167-1,"")</f>
        <v/>
      </c>
      <c r="H1168" s="36">
        <f>IF(G1168="","",G1168-$D$12)</f>
        <v/>
      </c>
    </row>
    <row r="1169">
      <c r="B1169" s="34" t="inlineStr">
        <is>
          <t>2026-03-13</t>
        </is>
      </c>
      <c r="C1169" s="35" t="n">
        <v>491624.2186379694</v>
      </c>
      <c r="D1169" s="36">
        <f>IF(C1168&gt;0,C1169/C1168-1,"")</f>
        <v/>
      </c>
      <c r="E1169" s="36">
        <f>IF(D1169="","",D1169-$C$12)</f>
        <v/>
      </c>
      <c r="F1169" s="35" t="n">
        <v>464313.6742150106</v>
      </c>
      <c r="G1169" s="36">
        <f>IF(F1168&gt;0,F1169/F1168-1,"")</f>
        <v/>
      </c>
      <c r="H1169" s="36">
        <f>IF(G1169="","",G1169-$D$12)</f>
        <v/>
      </c>
    </row>
    <row r="1170">
      <c r="B1170" s="34" t="inlineStr">
        <is>
          <t>2026-03-16</t>
        </is>
      </c>
      <c r="C1170" s="35" t="n">
        <v>493908.5956259111</v>
      </c>
      <c r="D1170" s="36">
        <f>IF(C1169&gt;0,C1170/C1169-1,"")</f>
        <v/>
      </c>
      <c r="E1170" s="36">
        <f>IF(D1170="","",D1170-$C$12)</f>
        <v/>
      </c>
      <c r="F1170" s="35" t="n">
        <v>466597.1423304831</v>
      </c>
      <c r="G1170" s="36">
        <f>IF(F1169&gt;0,F1170/F1169-1,"")</f>
        <v/>
      </c>
      <c r="H1170" s="36">
        <f>IF(G1170="","",G1170-$D$12)</f>
        <v/>
      </c>
    </row>
    <row r="1171">
      <c r="B1171" s="34" t="inlineStr">
        <is>
          <t>2026-03-17</t>
        </is>
      </c>
      <c r="C1171" s="35" t="n">
        <v>496772.5068842328</v>
      </c>
      <c r="D1171" s="36">
        <f>IF(C1170&gt;0,C1171/C1170-1,"")</f>
        <v/>
      </c>
      <c r="E1171" s="36">
        <f>IF(D1171="","",D1171-$C$12)</f>
        <v/>
      </c>
      <c r="F1171" s="35" t="n">
        <v>469241.8652965499</v>
      </c>
      <c r="G1171" s="36">
        <f>IF(F1170&gt;0,F1171/F1170-1,"")</f>
        <v/>
      </c>
      <c r="H1171" s="36">
        <f>IF(G1171="","",G1171-$D$12)</f>
        <v/>
      </c>
    </row>
    <row r="1172">
      <c r="B1172" s="34" t="inlineStr">
        <is>
          <t>2026-03-18</t>
        </is>
      </c>
      <c r="C1172" s="35" t="n">
        <v>493682.7642785352</v>
      </c>
      <c r="D1172" s="36">
        <f>IF(C1171&gt;0,C1172/C1171-1,"")</f>
        <v/>
      </c>
      <c r="E1172" s="36">
        <f>IF(D1172="","",D1172-$C$12)</f>
        <v/>
      </c>
      <c r="F1172" s="35" t="n">
        <v>466278.8184482975</v>
      </c>
      <c r="G1172" s="36">
        <f>IF(F1171&gt;0,F1172/F1171-1,"")</f>
        <v/>
      </c>
      <c r="H1172" s="36">
        <f>IF(G1172="","",G1172-$D$12)</f>
        <v/>
      </c>
    </row>
    <row r="1173">
      <c r="B1173" s="34" t="inlineStr">
        <is>
          <t>2026-03-19</t>
        </is>
      </c>
      <c r="C1173" s="35" t="n">
        <v>489108.7057437084</v>
      </c>
      <c r="D1173" s="36">
        <f>IF(C1172&gt;0,C1173/C1172-1,"")</f>
        <v/>
      </c>
      <c r="E1173" s="36">
        <f>IF(D1173="","",D1173-$C$12)</f>
        <v/>
      </c>
      <c r="F1173" s="35" t="n">
        <v>462289.6478609699</v>
      </c>
      <c r="G1173" s="36">
        <f>IF(F1172&gt;0,F1173/F1172-1,"")</f>
        <v/>
      </c>
      <c r="H1173" s="36">
        <f>IF(G1173="","",G1173-$D$12)</f>
        <v/>
      </c>
    </row>
    <row r="1174">
      <c r="B1174" s="34" t="inlineStr">
        <is>
          <t>2026-03-20</t>
        </is>
      </c>
      <c r="C1174" s="35" t="n">
        <v>485500.4100218628</v>
      </c>
      <c r="D1174" s="36">
        <f>IF(C1173&gt;0,C1174/C1173-1,"")</f>
        <v/>
      </c>
      <c r="E1174" s="36">
        <f>IF(D1174="","",D1174-$C$12)</f>
        <v/>
      </c>
      <c r="F1174" s="35" t="n">
        <v>459362.9876811912</v>
      </c>
      <c r="G1174" s="36">
        <f>IF(F1173&gt;0,F1174/F1173-1,"")</f>
        <v/>
      </c>
      <c r="H1174" s="36">
        <f>IF(G1174="","",G1174-$D$12)</f>
        <v/>
      </c>
    </row>
    <row r="1175">
      <c r="B1175" s="34" t="inlineStr">
        <is>
          <t>2026-03-23</t>
        </is>
      </c>
      <c r="C1175" s="35" t="n">
        <v>483674.7751115244</v>
      </c>
      <c r="D1175" s="36">
        <f>IF(C1174&gt;0,C1175/C1174-1,"")</f>
        <v/>
      </c>
      <c r="E1175" s="36">
        <f>IF(D1175="","",D1175-$C$12)</f>
        <v/>
      </c>
      <c r="F1175" s="35" t="n">
        <v>457905.333339715</v>
      </c>
      <c r="G1175" s="36">
        <f>IF(F1174&gt;0,F1175/F1174-1,"")</f>
        <v/>
      </c>
      <c r="H1175" s="36">
        <f>IF(G1175="","",G1175-$D$12)</f>
        <v/>
      </c>
    </row>
    <row r="1176">
      <c r="B1176" s="34" t="inlineStr">
        <is>
          <t>2026-03-24</t>
        </is>
      </c>
      <c r="C1176" s="35" t="n">
        <v>486317.9848476464</v>
      </c>
      <c r="D1176" s="36">
        <f>IF(C1175&gt;0,C1176/C1175-1,"")</f>
        <v/>
      </c>
      <c r="E1176" s="36">
        <f>IF(D1176="","",D1176-$C$12)</f>
        <v/>
      </c>
      <c r="F1176" s="35" t="n">
        <v>460184.498762705</v>
      </c>
      <c r="G1176" s="36">
        <f>IF(F1175&gt;0,F1176/F1175-1,"")</f>
        <v/>
      </c>
      <c r="H1176" s="36">
        <f>IF(G1176="","",G1176-$D$12)</f>
        <v/>
      </c>
    </row>
    <row r="1177">
      <c r="B1177" s="34" t="inlineStr">
        <is>
          <t>2026-03-25</t>
        </is>
      </c>
      <c r="C1177" s="35" t="n">
        <v>491027.5207046192</v>
      </c>
      <c r="D1177" s="36">
        <f>IF(C1176&gt;0,C1177/C1176-1,"")</f>
        <v/>
      </c>
      <c r="E1177" s="36">
        <f>IF(D1177="","",D1177-$C$12)</f>
        <v/>
      </c>
      <c r="F1177" s="35" t="n">
        <v>464525.2801222785</v>
      </c>
      <c r="G1177" s="36">
        <f>IF(F1176&gt;0,F1177/F1176-1,"")</f>
        <v/>
      </c>
      <c r="H1177" s="36">
        <f>IF(G1177="","",G1177-$D$12)</f>
        <v/>
      </c>
    </row>
    <row r="1178">
      <c r="B1178" s="34" t="inlineStr">
        <is>
          <t>2026-03-26</t>
        </is>
      </c>
      <c r="C1178" s="35" t="n">
        <v>488785.8455799125</v>
      </c>
      <c r="D1178" s="36">
        <f>IF(C1177&gt;0,C1178/C1177-1,"")</f>
        <v/>
      </c>
      <c r="E1178" s="36">
        <f>IF(D1178="","",D1178-$C$12)</f>
        <v/>
      </c>
      <c r="F1178" s="35" t="n">
        <v>462192.4956434857</v>
      </c>
      <c r="G1178" s="36">
        <f>IF(F1177&gt;0,F1178/F1177-1,"")</f>
        <v/>
      </c>
      <c r="H1178" s="36">
        <f>IF(G1178="","",G1178-$D$12)</f>
        <v/>
      </c>
    </row>
    <row r="1179">
      <c r="B1179" s="34" t="inlineStr">
        <is>
          <t>2026-03-27</t>
        </is>
      </c>
      <c r="C1179" s="35" t="n">
        <v>487332.4968389495</v>
      </c>
      <c r="D1179" s="36">
        <f>IF(C1178&gt;0,C1179/C1178-1,"")</f>
        <v/>
      </c>
      <c r="E1179" s="36">
        <f>IF(D1179="","",D1179-$C$12)</f>
        <v/>
      </c>
      <c r="F1179" s="35" t="n">
        <v>461197.7312667848</v>
      </c>
      <c r="G1179" s="36">
        <f>IF(F1178&gt;0,F1179/F1178-1,"")</f>
        <v/>
      </c>
      <c r="H1179" s="36">
        <f>IF(G1179="","",G1179-$D$12)</f>
        <v/>
      </c>
    </row>
    <row r="1180">
      <c r="B1180" s="34" t="inlineStr">
        <is>
          <t>2026-03-30</t>
        </is>
      </c>
      <c r="C1180" s="35" t="n">
        <v>489876.3528130392</v>
      </c>
      <c r="D1180" s="36">
        <f>IF(C1179&gt;0,C1180/C1179-1,"")</f>
        <v/>
      </c>
      <c r="E1180" s="36">
        <f>IF(D1180="","",D1180-$C$12)</f>
        <v/>
      </c>
      <c r="F1180" s="35" t="n">
        <v>463779.1052098667</v>
      </c>
      <c r="G1180" s="36">
        <f>IF(F1179&gt;0,F1180/F1179-1,"")</f>
        <v/>
      </c>
      <c r="H1180" s="36">
        <f>IF(G1180="","",G1180-$D$12)</f>
        <v/>
      </c>
    </row>
    <row r="1181">
      <c r="B1181" s="34" t="inlineStr">
        <is>
          <t>2026-03-31</t>
        </is>
      </c>
      <c r="C1181" s="35" t="n">
        <v>493101.3795018654</v>
      </c>
      <c r="D1181" s="36">
        <f>IF(C1180&gt;0,C1181/C1180-1,"")</f>
        <v/>
      </c>
      <c r="E1181" s="36">
        <f>IF(D1181="","",D1181-$C$12)</f>
        <v/>
      </c>
      <c r="F1181" s="35" t="n">
        <v>466825.0685179277</v>
      </c>
      <c r="G1181" s="36">
        <f>IF(F1180&gt;0,F1181/F1180-1,"")</f>
        <v/>
      </c>
      <c r="H1181" s="36">
        <f>IF(G1181="","",G1181-$D$12)</f>
        <v/>
      </c>
    </row>
    <row r="1182">
      <c r="B1182" s="34" t="inlineStr">
        <is>
          <t>2026-04-01</t>
        </is>
      </c>
      <c r="C1182" s="35" t="n">
        <v>496517.0871411356</v>
      </c>
      <c r="D1182" s="36">
        <f>IF(C1181&gt;0,C1182/C1181-1,"")</f>
        <v/>
      </c>
      <c r="E1182" s="36">
        <f>IF(D1182="","",D1182-$C$12)</f>
        <v/>
      </c>
      <c r="F1182" s="35" t="n">
        <v>469346.1868347647</v>
      </c>
      <c r="G1182" s="36">
        <f>IF(F1181&gt;0,F1182/F1181-1,"")</f>
        <v/>
      </c>
      <c r="H1182" s="36">
        <f>IF(G1182="","",G1182-$D$12)</f>
        <v/>
      </c>
    </row>
    <row r="1183">
      <c r="B1183" s="34" t="inlineStr">
        <is>
          <t>2026-04-02</t>
        </is>
      </c>
      <c r="C1183" s="35" t="n">
        <v>496965.9664776609</v>
      </c>
      <c r="D1183" s="36">
        <f>IF(C1182&gt;0,C1183/C1182-1,"")</f>
        <v/>
      </c>
      <c r="E1183" s="36">
        <f>IF(D1183="","",D1183-$C$12)</f>
        <v/>
      </c>
      <c r="F1183" s="35" t="n">
        <v>470294.4067223914</v>
      </c>
      <c r="G1183" s="36">
        <f>IF(F1182&gt;0,F1183/F1182-1,"")</f>
        <v/>
      </c>
      <c r="H1183" s="36">
        <f>IF(G1183="","",G1183-$D$12)</f>
        <v/>
      </c>
    </row>
    <row r="1184">
      <c r="B1184" s="34" t="inlineStr">
        <is>
          <t>2026-04-06</t>
        </is>
      </c>
      <c r="C1184" s="35" t="n">
        <v>496954.1709194595</v>
      </c>
      <c r="D1184" s="36">
        <f>IF(C1183&gt;0,C1184/C1183-1,"")</f>
        <v/>
      </c>
      <c r="E1184" s="36">
        <f>IF(D1184="","",D1184-$C$12)</f>
        <v/>
      </c>
      <c r="F1184" s="35" t="n">
        <v>470319.2300846645</v>
      </c>
      <c r="G1184" s="36">
        <f>IF(F1183&gt;0,F1184/F1183-1,"")</f>
        <v/>
      </c>
      <c r="H1184" s="36">
        <f>IF(G1184="","",G1184-$D$12)</f>
        <v/>
      </c>
    </row>
    <row r="1185">
      <c r="B1185" s="34" t="inlineStr">
        <is>
          <t>2026-04-07</t>
        </is>
      </c>
      <c r="C1185" s="35" t="n">
        <v>495042.5643241311</v>
      </c>
      <c r="D1185" s="36">
        <f>IF(C1184&gt;0,C1185/C1184-1,"")</f>
        <v/>
      </c>
      <c r="E1185" s="36">
        <f>IF(D1185="","",D1185-$C$12)</f>
        <v/>
      </c>
      <c r="F1185" s="35" t="n">
        <v>468965.2127054436</v>
      </c>
      <c r="G1185" s="36">
        <f>IF(F1184&gt;0,F1185/F1184-1,"")</f>
        <v/>
      </c>
      <c r="H1185" s="36">
        <f>IF(G1185="","",G1185-$D$12)</f>
        <v/>
      </c>
    </row>
    <row r="1186">
      <c r="B1186" s="34" t="inlineStr">
        <is>
          <t>2026-04-08</t>
        </is>
      </c>
      <c r="C1186" s="35" t="n">
        <v>498673.8947823148</v>
      </c>
      <c r="D1186" s="36">
        <f>IF(C1185&gt;0,C1186/C1185-1,"")</f>
        <v/>
      </c>
      <c r="E1186" s="36">
        <f>IF(D1186="","",D1186-$C$12)</f>
        <v/>
      </c>
      <c r="F1186" s="35" t="n">
        <v>472780.7285978268</v>
      </c>
      <c r="G1186" s="36">
        <f>IF(F1185&gt;0,F1186/F1185-1,"")</f>
        <v/>
      </c>
      <c r="H1186" s="36">
        <f>IF(G1186="","",G1186-$D$12)</f>
        <v/>
      </c>
    </row>
    <row r="1187">
      <c r="B1187" s="34" t="inlineStr">
        <is>
          <t>2026-04-09</t>
        </is>
      </c>
      <c r="C1187" s="35" t="n">
        <v>500617.4492228446</v>
      </c>
      <c r="D1187" s="36">
        <f>IF(C1186&gt;0,C1187/C1186-1,"")</f>
        <v/>
      </c>
      <c r="E1187" s="36">
        <f>IF(D1187="","",D1187-$C$12)</f>
        <v/>
      </c>
      <c r="F1187" s="35" t="n">
        <v>474780.6314246229</v>
      </c>
      <c r="G1187" s="36">
        <f>IF(F1186&gt;0,F1187/F1186-1,"")</f>
        <v/>
      </c>
      <c r="H1187" s="36">
        <f>IF(G1187="","",G1187-$D$12)</f>
        <v/>
      </c>
    </row>
    <row r="1188">
      <c r="B1188" s="34" t="inlineStr">
        <is>
          <t>2026-04-10</t>
        </is>
      </c>
      <c r="C1188" s="35" t="n">
        <v>500452.8480459632</v>
      </c>
      <c r="D1188" s="36">
        <f>IF(C1187&gt;0,C1188/C1187-1,"")</f>
        <v/>
      </c>
      <c r="E1188" s="36">
        <f>IF(D1188="","",D1188-$C$12)</f>
        <v/>
      </c>
      <c r="F1188" s="35" t="n">
        <v>475063.6276370839</v>
      </c>
      <c r="G1188" s="36">
        <f>IF(F1187&gt;0,F1188/F1187-1,"")</f>
        <v/>
      </c>
      <c r="H1188" s="36">
        <f>IF(G1188="","",G1188-$D$12)</f>
        <v/>
      </c>
    </row>
    <row r="1189">
      <c r="B1189" s="34" t="inlineStr">
        <is>
          <t>2026-04-13</t>
        </is>
      </c>
      <c r="C1189" s="35" t="n">
        <v>500181.5120021646</v>
      </c>
      <c r="D1189" s="36">
        <f>IF(C1188&gt;0,C1189/C1188-1,"")</f>
        <v/>
      </c>
      <c r="E1189" s="36">
        <f>IF(D1189="","",D1189-$C$12)</f>
        <v/>
      </c>
      <c r="F1189" s="35" t="n">
        <v>475202.6380307814</v>
      </c>
      <c r="G1189" s="36">
        <f>IF(F1188&gt;0,F1189/F1188-1,"")</f>
        <v/>
      </c>
      <c r="H1189" s="36">
        <f>IF(G1189="","",G1189-$D$12)</f>
        <v/>
      </c>
    </row>
    <row r="1190">
      <c r="B1190" s="34" t="inlineStr">
        <is>
          <t>2026-04-14</t>
        </is>
      </c>
      <c r="C1190" s="35" t="n">
        <v>501836.9678029693</v>
      </c>
      <c r="D1190" s="36">
        <f>IF(C1189&gt;0,C1190/C1189-1,"")</f>
        <v/>
      </c>
      <c r="E1190" s="36">
        <f>IF(D1190="","",D1190-$C$12)</f>
        <v/>
      </c>
      <c r="F1190" s="35" t="n">
        <v>475865.0569257594</v>
      </c>
      <c r="G1190" s="36">
        <f>IF(F1189&gt;0,F1190/F1189-1,"")</f>
        <v/>
      </c>
      <c r="H1190" s="36">
        <f>IF(G1190="","",G1190-$D$12)</f>
        <v/>
      </c>
    </row>
    <row r="1191">
      <c r="B1191" s="34" t="inlineStr">
        <is>
          <t>2026-04-15</t>
        </is>
      </c>
      <c r="C1191" s="35" t="n">
        <v>502287.9409722815</v>
      </c>
      <c r="D1191" s="36">
        <f>IF(C1190&gt;0,C1191/C1190-1,"")</f>
        <v/>
      </c>
      <c r="E1191" s="36">
        <f>IF(D1191="","",D1191-$C$12)</f>
        <v/>
      </c>
      <c r="F1191" s="35" t="n">
        <v>475629.1056666656</v>
      </c>
      <c r="G1191" s="36">
        <f>IF(F1190&gt;0,F1191/F1190-1,"")</f>
        <v/>
      </c>
      <c r="H1191" s="36">
        <f>IF(G1191="","",G1191-$D$12)</f>
        <v/>
      </c>
    </row>
    <row r="1192">
      <c r="B1192" s="34" t="inlineStr">
        <is>
          <t>2026-04-16</t>
        </is>
      </c>
      <c r="C1192" s="35" t="n">
        <v>502171.3318845828</v>
      </c>
      <c r="D1192" s="36">
        <f>IF(C1191&gt;0,C1192/C1191-1,"")</f>
        <v/>
      </c>
      <c r="E1192" s="36">
        <f>IF(D1192="","",D1192-$C$12)</f>
        <v/>
      </c>
      <c r="F1192" s="35" t="n">
        <v>475140.941939377</v>
      </c>
      <c r="G1192" s="36">
        <f>IF(F1191&gt;0,F1192/F1191-1,"")</f>
        <v/>
      </c>
      <c r="H1192" s="36">
        <f>IF(G1192="","",G1192-$D$12)</f>
        <v/>
      </c>
    </row>
    <row r="1193">
      <c r="B1193" s="34" t="inlineStr">
        <is>
          <t>2026-04-17</t>
        </is>
      </c>
      <c r="C1193" s="35" t="n">
        <v>505584.5113871804</v>
      </c>
      <c r="D1193" s="36">
        <f>IF(C1192&gt;0,C1193/C1192-1,"")</f>
        <v/>
      </c>
      <c r="E1193" s="36">
        <f>IF(D1193="","",D1193-$C$12)</f>
        <v/>
      </c>
      <c r="F1193" s="35" t="n">
        <v>477414.7672780689</v>
      </c>
      <c r="G1193" s="36">
        <f>IF(F1192&gt;0,F1193/F1192-1,"")</f>
        <v/>
      </c>
      <c r="H1193" s="36">
        <f>IF(G1193="","",G1193-$D$12)</f>
        <v/>
      </c>
    </row>
    <row r="1194">
      <c r="B1194" s="34" t="inlineStr">
        <is>
          <t>2026-04-20</t>
        </is>
      </c>
      <c r="C1194" s="35" t="n">
        <v>503968.1122445223</v>
      </c>
      <c r="D1194" s="36">
        <f>IF(C1193&gt;0,C1194/C1193-1,"")</f>
        <v/>
      </c>
      <c r="E1194" s="36">
        <f>IF(D1194="","",D1194-$C$12)</f>
        <v/>
      </c>
      <c r="F1194" s="35" t="n">
        <v>475823.3876481903</v>
      </c>
      <c r="G1194" s="36">
        <f>IF(F1193&gt;0,F1194/F1193-1,"")</f>
        <v/>
      </c>
      <c r="H1194" s="36">
        <f>IF(G1194="","",G1194-$D$12)</f>
        <v/>
      </c>
    </row>
    <row r="1195">
      <c r="B1195" s="34" t="inlineStr">
        <is>
          <t>2026-04-21</t>
        </is>
      </c>
      <c r="C1195" s="35" t="n">
        <v>501532.9747304358</v>
      </c>
      <c r="D1195" s="36">
        <f>IF(C1194&gt;0,C1195/C1194-1,"")</f>
        <v/>
      </c>
      <c r="E1195" s="36">
        <f>IF(D1195="","",D1195-$C$12)</f>
        <v/>
      </c>
      <c r="F1195" s="35" t="n">
        <v>473588.3808383775</v>
      </c>
      <c r="G1195" s="36">
        <f>IF(F1194&gt;0,F1195/F1194-1,"")</f>
        <v/>
      </c>
      <c r="H1195" s="36">
        <f>IF(G1195="","",G1195-$D$12)</f>
        <v/>
      </c>
    </row>
    <row r="1196">
      <c r="B1196" s="34" t="inlineStr">
        <is>
          <t>2026-04-22</t>
        </is>
      </c>
      <c r="C1196" s="35" t="n">
        <v>501234.0059519241</v>
      </c>
      <c r="D1196" s="36">
        <f>IF(C1195&gt;0,C1196/C1195-1,"")</f>
        <v/>
      </c>
      <c r="E1196" s="36">
        <f>IF(D1196="","",D1196-$C$12)</f>
        <v/>
      </c>
      <c r="F1196" s="35" t="n">
        <v>473811.8626786965</v>
      </c>
      <c r="G1196" s="36">
        <f>IF(F1195&gt;0,F1196/F1195-1,"")</f>
        <v/>
      </c>
      <c r="H1196" s="36">
        <f>IF(G1196="","",G1196-$D$12)</f>
        <v/>
      </c>
    </row>
    <row r="1197">
      <c r="B1197" s="34" t="inlineStr">
        <is>
          <t>2026-04-23</t>
        </is>
      </c>
      <c r="C1197" s="35" t="n">
        <v>503367.0516236736</v>
      </c>
      <c r="D1197" s="36">
        <f>IF(C1196&gt;0,C1197/C1196-1,"")</f>
        <v/>
      </c>
      <c r="E1197" s="36">
        <f>IF(D1197="","",D1197-$C$12)</f>
        <v/>
      </c>
      <c r="F1197" s="35" t="n">
        <v>476041.1978453991</v>
      </c>
      <c r="G1197" s="36">
        <f>IF(F1196&gt;0,F1197/F1196-1,"")</f>
        <v/>
      </c>
      <c r="H1197" s="36">
        <f>IF(G1197="","",G1197-$D$12)</f>
        <v/>
      </c>
    </row>
    <row r="1198">
      <c r="B1198" s="34" t="inlineStr">
        <is>
          <t>2026-04-24</t>
        </is>
      </c>
      <c r="C1198" s="35" t="n">
        <v>503624.2511565535</v>
      </c>
      <c r="D1198" s="36">
        <f>IF(C1197&gt;0,C1198/C1197-1,"")</f>
        <v/>
      </c>
      <c r="E1198" s="36">
        <f>IF(D1198="","",D1198-$C$12)</f>
        <v/>
      </c>
      <c r="F1198" s="35" t="n">
        <v>475700.5206728227</v>
      </c>
      <c r="G1198" s="36">
        <f>IF(F1197&gt;0,F1198/F1197-1,"")</f>
        <v/>
      </c>
      <c r="H1198" s="36">
        <f>IF(G1198="","",G1198-$D$12)</f>
        <v/>
      </c>
    </row>
    <row r="1199">
      <c r="B1199" s="34" t="inlineStr">
        <is>
          <t>2026-04-27</t>
        </is>
      </c>
      <c r="C1199" s="35" t="n">
        <v>502384.6647704965</v>
      </c>
      <c r="D1199" s="36">
        <f>IF(C1198&gt;0,C1199/C1198-1,"")</f>
        <v/>
      </c>
      <c r="E1199" s="36">
        <f>IF(D1199="","",D1199-$C$12)</f>
        <v/>
      </c>
      <c r="F1199" s="35" t="n">
        <v>474993.8202214052</v>
      </c>
      <c r="G1199" s="36">
        <f>IF(F1198&gt;0,F1199/F1198-1,"")</f>
        <v/>
      </c>
      <c r="H1199" s="36">
        <f>IF(G1199="","",G1199-$D$12)</f>
        <v/>
      </c>
    </row>
    <row r="1200">
      <c r="B1200" s="34" t="inlineStr">
        <is>
          <t>2026-04-28</t>
        </is>
      </c>
      <c r="C1200" s="35" t="n">
        <v>501815.4243231161</v>
      </c>
      <c r="D1200" s="36">
        <f>IF(C1199&gt;0,C1200/C1199-1,"")</f>
        <v/>
      </c>
      <c r="E1200" s="36">
        <f>IF(D1200="","",D1200-$C$12)</f>
        <v/>
      </c>
      <c r="F1200" s="35" t="n">
        <v>475048.473404559</v>
      </c>
      <c r="G1200" s="36">
        <f>IF(F1199&gt;0,F1200/F1199-1,"")</f>
        <v/>
      </c>
      <c r="H1200" s="36">
        <f>IF(G1200="","",G1200-$D$12)</f>
        <v/>
      </c>
    </row>
    <row r="1201">
      <c r="B1201" s="34" t="inlineStr">
        <is>
          <t>2026-04-29</t>
        </is>
      </c>
      <c r="C1201" s="35" t="n">
        <v>498255.179724691</v>
      </c>
      <c r="D1201" s="36">
        <f>IF(C1200&gt;0,C1201/C1200-1,"")</f>
        <v/>
      </c>
      <c r="E1201" s="36">
        <f>IF(D1201="","",D1201-$C$12)</f>
        <v/>
      </c>
      <c r="F1201" s="35" t="n">
        <v>472332.7889132131</v>
      </c>
      <c r="G1201" s="36">
        <f>IF(F1200&gt;0,F1201/F1200-1,"")</f>
        <v/>
      </c>
      <c r="H1201" s="36">
        <f>IF(G1201="","",G1201-$D$12)</f>
        <v/>
      </c>
    </row>
    <row r="1202">
      <c r="B1202" s="34" t="inlineStr">
        <is>
          <t>2026-04-30</t>
        </is>
      </c>
      <c r="C1202" s="35" t="n">
        <v>501269.9328322071</v>
      </c>
      <c r="D1202" s="36">
        <f>IF(C1201&gt;0,C1202/C1201-1,"")</f>
        <v/>
      </c>
      <c r="E1202" s="36">
        <f>IF(D1202="","",D1202-$C$12)</f>
        <v/>
      </c>
      <c r="F1202" s="35" t="n">
        <v>474737.728128584</v>
      </c>
      <c r="G1202" s="36">
        <f>IF(F1201&gt;0,F1202/F1201-1,"")</f>
        <v/>
      </c>
      <c r="H1202" s="36">
        <f>IF(G1202="","",G1202-$D$12)</f>
        <v/>
      </c>
    </row>
    <row r="1203">
      <c r="B1203" s="34" t="inlineStr">
        <is>
          <t>2026-05-01</t>
        </is>
      </c>
      <c r="C1203" s="35" t="n">
        <v>501430.9209409134</v>
      </c>
      <c r="D1203" s="36">
        <f>IF(C1202&gt;0,C1203/C1202-1,"")</f>
        <v/>
      </c>
      <c r="E1203" s="36">
        <f>IF(D1203="","",D1203-$C$12)</f>
        <v/>
      </c>
      <c r="F1203" s="35" t="n">
        <v>474587.2493261093</v>
      </c>
      <c r="G1203" s="36">
        <f>IF(F1202&gt;0,F1203/F1202-1,"")</f>
        <v/>
      </c>
      <c r="H1203" s="36">
        <f>IF(G1203="","",G1203-$D$12)</f>
        <v/>
      </c>
    </row>
    <row r="1204">
      <c r="B1204" s="34" t="inlineStr">
        <is>
          <t>2026-05-04</t>
        </is>
      </c>
      <c r="C1204" s="35" t="n">
        <v>498930.2299600932</v>
      </c>
      <c r="D1204" s="36">
        <f>IF(C1203&gt;0,C1204/C1203-1,"")</f>
        <v/>
      </c>
      <c r="E1204" s="36">
        <f>IF(D1204="","",D1204-$C$12)</f>
        <v/>
      </c>
      <c r="F1204" s="35" t="n">
        <v>472864.4461989165</v>
      </c>
      <c r="G1204" s="36">
        <f>IF(F1203&gt;0,F1204/F1203-1,"")</f>
        <v/>
      </c>
      <c r="H1204" s="36">
        <f>IF(G1204="","",G1204-$D$12)</f>
        <v/>
      </c>
    </row>
    <row r="1205">
      <c r="B1205" s="34" t="inlineStr">
        <is>
          <t>2026-05-05</t>
        </is>
      </c>
      <c r="C1205" s="35" t="n">
        <v>499114.1484584901</v>
      </c>
      <c r="D1205" s="36">
        <f>IF(C1204&gt;0,C1205/C1204-1,"")</f>
        <v/>
      </c>
      <c r="E1205" s="36">
        <f>IF(D1205="","",D1205-$C$12)</f>
        <v/>
      </c>
      <c r="F1205" s="35" t="n">
        <v>473271.0892789999</v>
      </c>
      <c r="G1205" s="36">
        <f>IF(F1204&gt;0,F1205/F1204-1,"")</f>
        <v/>
      </c>
      <c r="H1205" s="36">
        <f>IF(G1205="","",G1205-$D$12)</f>
        <v/>
      </c>
    </row>
    <row r="1206">
      <c r="B1206" s="34" t="inlineStr">
        <is>
          <t>2026-05-06</t>
        </is>
      </c>
      <c r="C1206" s="35" t="n">
        <v>503293.8776253168</v>
      </c>
      <c r="D1206" s="36">
        <f>IF(C1205&gt;0,C1206/C1205-1,"")</f>
        <v/>
      </c>
      <c r="E1206" s="36">
        <f>IF(D1206="","",D1206-$C$12)</f>
        <v/>
      </c>
      <c r="F1206" s="35" t="n">
        <v>476675.8686954259</v>
      </c>
      <c r="G1206" s="36">
        <f>IF(F1205&gt;0,F1206/F1205-1,"")</f>
        <v/>
      </c>
      <c r="H1206" s="36">
        <f>IF(G1206="","",G1206-$D$12)</f>
        <v/>
      </c>
    </row>
    <row r="1207">
      <c r="B1207" s="34" t="inlineStr">
        <is>
          <t>2026-05-07</t>
        </is>
      </c>
      <c r="C1207" s="35" t="n">
        <v>500509.860450635</v>
      </c>
      <c r="D1207" s="36">
        <f>IF(C1206&gt;0,C1207/C1206-1,"")</f>
        <v/>
      </c>
      <c r="E1207" s="36">
        <f>IF(D1207="","",D1207-$C$12)</f>
        <v/>
      </c>
      <c r="F1207" s="35" t="n">
        <v>474305.2614083821</v>
      </c>
      <c r="G1207" s="36">
        <f>IF(F1206&gt;0,F1207/F1206-1,"")</f>
        <v/>
      </c>
      <c r="H1207" s="36">
        <f>IF(G1207="","",G1207-$D$12)</f>
        <v/>
      </c>
    </row>
    <row r="1208">
      <c r="B1208" s="34" t="inlineStr">
        <is>
          <t>2026-05-08</t>
        </is>
      </c>
      <c r="C1208" s="35" t="n">
        <v>498964.3209734194</v>
      </c>
      <c r="D1208" s="36">
        <f>IF(C1207&gt;0,C1208/C1207-1,"")</f>
        <v/>
      </c>
      <c r="E1208" s="36">
        <f>IF(D1208="","",D1208-$C$12)</f>
        <v/>
      </c>
      <c r="F1208" s="35" t="n">
        <v>473303.8838150198</v>
      </c>
      <c r="G1208" s="36">
        <f>IF(F1207&gt;0,F1208/F1207-1,"")</f>
        <v/>
      </c>
      <c r="H1208" s="36">
        <f>IF(G1208="","",G1208-$D$12)</f>
        <v/>
      </c>
    </row>
    <row r="1209">
      <c r="B1209" s="34" t="inlineStr">
        <is>
          <t>2026-05-11</t>
        </is>
      </c>
      <c r="C1209" s="35" t="n">
        <v>500478.1255380883</v>
      </c>
      <c r="D1209" s="36">
        <f>IF(C1208&gt;0,C1209/C1208-1,"")</f>
        <v/>
      </c>
      <c r="E1209" s="36">
        <f>IF(D1209="","",D1209-$C$12)</f>
        <v/>
      </c>
      <c r="F1209" s="35" t="n">
        <v>474066.9084406299</v>
      </c>
      <c r="G1209" s="36">
        <f>IF(F1208&gt;0,F1209/F1208-1,"")</f>
        <v/>
      </c>
      <c r="H1209" s="36">
        <f>IF(G1209="","",G1209-$D$12)</f>
        <v/>
      </c>
    </row>
    <row r="1210">
      <c r="B1210" s="34" t="inlineStr">
        <is>
          <t>2026-05-12</t>
        </is>
      </c>
      <c r="C1210" s="35" t="n">
        <v>499176.0489743525</v>
      </c>
      <c r="D1210" s="36">
        <f>IF(C1209&gt;0,C1210/C1209-1,"")</f>
        <v/>
      </c>
      <c r="E1210" s="36">
        <f>IF(D1210="","",D1210-$C$12)</f>
        <v/>
      </c>
      <c r="F1210" s="35" t="n">
        <v>473574.4736096376</v>
      </c>
      <c r="G1210" s="36">
        <f>IF(F1209&gt;0,F1210/F1209-1,"")</f>
        <v/>
      </c>
      <c r="H1210" s="36">
        <f>IF(G1210="","",G1210-$D$12)</f>
        <v/>
      </c>
    </row>
    <row r="1211">
      <c r="B1211" s="34" t="inlineStr">
        <is>
          <t>2026-05-13</t>
        </is>
      </c>
      <c r="C1211" s="35" t="n">
        <v>501056.8919138386</v>
      </c>
      <c r="D1211" s="36">
        <f>IF(C1210&gt;0,C1211/C1210-1,"")</f>
        <v/>
      </c>
      <c r="E1211" s="36">
        <f>IF(D1211="","",D1211-$C$12)</f>
        <v/>
      </c>
      <c r="F1211" s="35" t="n">
        <v>475559.8677084127</v>
      </c>
      <c r="G1211" s="36">
        <f>IF(F1210&gt;0,F1211/F1210-1,"")</f>
        <v/>
      </c>
      <c r="H1211" s="36">
        <f>IF(G1211="","",G1211-$D$12)</f>
        <v/>
      </c>
    </row>
    <row r="1212">
      <c r="B1212" s="34" t="inlineStr">
        <is>
          <t>2026-05-14</t>
        </is>
      </c>
      <c r="C1212" s="35" t="n">
        <v>501198.9417175846</v>
      </c>
      <c r="D1212" s="36">
        <f>IF(C1211&gt;0,C1212/C1211-1,"")</f>
        <v/>
      </c>
      <c r="E1212" s="36">
        <f>IF(D1212="","",D1212-$C$12)</f>
        <v/>
      </c>
      <c r="F1212" s="35" t="n">
        <v>475698.0094315875</v>
      </c>
      <c r="G1212" s="36">
        <f>IF(F1211&gt;0,F1212/F1211-1,"")</f>
        <v/>
      </c>
      <c r="H1212" s="36">
        <f>IF(G1212="","",G1212-$D$12)</f>
        <v/>
      </c>
    </row>
    <row r="1213">
      <c r="B1213" s="34" t="inlineStr">
        <is>
          <t>2026-05-15</t>
        </is>
      </c>
      <c r="C1213" s="35" t="n">
        <v>500702.2832231023</v>
      </c>
      <c r="D1213" s="36">
        <f>IF(C1212&gt;0,C1213/C1212-1,"")</f>
        <v/>
      </c>
      <c r="E1213" s="36">
        <f>IF(D1213="","",D1213-$C$12)</f>
        <v/>
      </c>
      <c r="F1213" s="35" t="n">
        <v>475560.1311048117</v>
      </c>
      <c r="G1213" s="36">
        <f>IF(F1212&gt;0,F1213/F1212-1,"")</f>
        <v/>
      </c>
      <c r="H1213" s="36">
        <f>IF(G1213="","",G1213-$D$12)</f>
        <v/>
      </c>
    </row>
    <row r="1214">
      <c r="B1214" s="34" t="inlineStr">
        <is>
          <t>2026-05-18</t>
        </is>
      </c>
      <c r="C1214" s="35" t="n">
        <v>501168.2925954927</v>
      </c>
      <c r="D1214" s="36">
        <f>IF(C1213&gt;0,C1214/C1213-1,"")</f>
        <v/>
      </c>
      <c r="E1214" s="36">
        <f>IF(D1214="","",D1214-$C$12)</f>
        <v/>
      </c>
      <c r="F1214" s="35" t="n">
        <v>475568.1424244114</v>
      </c>
      <c r="G1214" s="36">
        <f>IF(F1213&gt;0,F1214/F1213-1,"")</f>
        <v/>
      </c>
      <c r="H1214" s="36">
        <f>IF(G1214="","",G1214-$D$12)</f>
        <v/>
      </c>
    </row>
    <row r="1215">
      <c r="B1215" s="34" t="inlineStr">
        <is>
          <t>2026-05-19</t>
        </is>
      </c>
      <c r="C1215" s="35" t="n">
        <v>503224.6108934297</v>
      </c>
      <c r="D1215" s="36">
        <f>IF(C1214&gt;0,C1215/C1214-1,"")</f>
        <v/>
      </c>
      <c r="E1215" s="36">
        <f>IF(D1215="","",D1215-$C$12)</f>
        <v/>
      </c>
      <c r="F1215" s="35" t="n">
        <v>477341.8951252794</v>
      </c>
      <c r="G1215" s="36">
        <f>IF(F1214&gt;0,F1215/F1214-1,"")</f>
        <v/>
      </c>
      <c r="H1215" s="36">
        <f>IF(G1215="","",G1215-$D$12)</f>
        <v/>
      </c>
    </row>
    <row r="1216">
      <c r="B1216" s="34" t="inlineStr">
        <is>
          <t>2026-05-20</t>
        </is>
      </c>
      <c r="C1216" s="35" t="n">
        <v>503938.7124763859</v>
      </c>
      <c r="D1216" s="36">
        <f>IF(C1215&gt;0,C1216/C1215-1,"")</f>
        <v/>
      </c>
      <c r="E1216" s="36">
        <f>IF(D1216="","",D1216-$C$12)</f>
        <v/>
      </c>
      <c r="F1216" s="35" t="n">
        <v>478474.9146170765</v>
      </c>
      <c r="G1216" s="36">
        <f>IF(F1215&gt;0,F1216/F1215-1,"")</f>
        <v/>
      </c>
      <c r="H1216" s="36">
        <f>IF(G1216="","",G1216-$D$12)</f>
        <v/>
      </c>
    </row>
    <row r="1217">
      <c r="B1217" s="34" t="inlineStr">
        <is>
          <t>2026-05-21</t>
        </is>
      </c>
      <c r="C1217" s="35" t="n">
        <v>503629.8458270089</v>
      </c>
      <c r="D1217" s="36">
        <f>IF(C1216&gt;0,C1217/C1216-1,"")</f>
        <v/>
      </c>
      <c r="E1217" s="36">
        <f>IF(D1217="","",D1217-$C$12)</f>
        <v/>
      </c>
      <c r="F1217" s="35" t="n">
        <v>477860.8360418114</v>
      </c>
      <c r="G1217" s="36">
        <f>IF(F1216&gt;0,F1217/F1216-1,"")</f>
        <v/>
      </c>
      <c r="H1217" s="36">
        <f>IF(G1217="","",G1217-$D$12)</f>
        <v/>
      </c>
    </row>
    <row r="1218">
      <c r="B1218" s="34" t="inlineStr">
        <is>
          <t>2026-05-22</t>
        </is>
      </c>
      <c r="C1218" s="35" t="n">
        <v>503152.1340737462</v>
      </c>
      <c r="D1218" s="36">
        <f>IF(C1217&gt;0,C1218/C1217-1,"")</f>
        <v/>
      </c>
      <c r="E1218" s="36">
        <f>IF(D1218="","",D1218-$C$12)</f>
        <v/>
      </c>
      <c r="F1218" s="35" t="n">
        <v>478233.7533142206</v>
      </c>
      <c r="G1218" s="36">
        <f>IF(F1217&gt;0,F1218/F1217-1,"")</f>
        <v/>
      </c>
      <c r="H1218" s="36">
        <f>IF(G1218="","",G1218-$D$12)</f>
        <v/>
      </c>
    </row>
    <row r="1219">
      <c r="B1219" s="34" t="inlineStr">
        <is>
          <t>2026-05-25</t>
        </is>
      </c>
      <c r="C1219" s="35" t="n">
        <v>503031.4576567867</v>
      </c>
      <c r="D1219" s="36">
        <f>IF(C1218&gt;0,C1219/C1218-1,"")</f>
        <v/>
      </c>
      <c r="E1219" s="36">
        <f>IF(D1219="","",D1219-$C$12)</f>
        <v/>
      </c>
      <c r="F1219" s="35" t="n">
        <v>477808.6193548305</v>
      </c>
      <c r="G1219" s="36">
        <f>IF(F1218&gt;0,F1219/F1218-1,"")</f>
        <v/>
      </c>
      <c r="H1219" s="36">
        <f>IF(G1219="","",G1219-$D$12)</f>
        <v/>
      </c>
    </row>
    <row r="1220">
      <c r="B1220" s="34" t="inlineStr">
        <is>
          <t>2026-05-26</t>
        </is>
      </c>
      <c r="C1220" s="35" t="n">
        <v>504502.8173808856</v>
      </c>
      <c r="D1220" s="36">
        <f>IF(C1219&gt;0,C1220/C1219-1,"")</f>
        <v/>
      </c>
      <c r="E1220" s="36">
        <f>IF(D1220="","",D1220-$C$12)</f>
        <v/>
      </c>
      <c r="F1220" s="35" t="n">
        <v>478763.6673811029</v>
      </c>
      <c r="G1220" s="36">
        <f>IF(F1219&gt;0,F1220/F1219-1,"")</f>
        <v/>
      </c>
      <c r="H1220" s="36">
        <f>IF(G1220="","",G1220-$D$12)</f>
        <v/>
      </c>
    </row>
    <row r="1221">
      <c r="B1221" s="34" t="inlineStr">
        <is>
          <t>2026-05-27</t>
        </is>
      </c>
      <c r="C1221" s="35" t="n">
        <v>505051.2756997629</v>
      </c>
      <c r="D1221" s="36">
        <f>IF(C1220&gt;0,C1221/C1220-1,"")</f>
        <v/>
      </c>
      <c r="E1221" s="36">
        <f>IF(D1221="","",D1221-$C$12)</f>
        <v/>
      </c>
      <c r="F1221" s="35" t="n">
        <v>478358.3635825024</v>
      </c>
      <c r="G1221" s="36">
        <f>IF(F1220&gt;0,F1221/F1220-1,"")</f>
        <v/>
      </c>
      <c r="H1221" s="36">
        <f>IF(G1221="","",G1221-$D$12)</f>
        <v/>
      </c>
    </row>
    <row r="1222">
      <c r="B1222" s="34" t="inlineStr">
        <is>
          <t>2026-05-28</t>
        </is>
      </c>
      <c r="C1222" s="35" t="n">
        <v>503225.0720570019</v>
      </c>
      <c r="D1222" s="36">
        <f>IF(C1221&gt;0,C1222/C1221-1,"")</f>
        <v/>
      </c>
      <c r="E1222" s="36">
        <f>IF(D1222="","",D1222-$C$12)</f>
        <v/>
      </c>
      <c r="F1222" s="35" t="n">
        <v>477046.4489980155</v>
      </c>
      <c r="G1222" s="36">
        <f>IF(F1221&gt;0,F1222/F1221-1,"")</f>
        <v/>
      </c>
      <c r="H1222" s="36">
        <f>IF(G1222="","",G1222-$D$12)</f>
        <v/>
      </c>
    </row>
    <row r="1223">
      <c r="B1223" s="34" t="inlineStr">
        <is>
          <t>2026-05-29</t>
        </is>
      </c>
      <c r="C1223" s="35" t="n">
        <v>502704.951718309</v>
      </c>
      <c r="D1223" s="36">
        <f>IF(C1222&gt;0,C1223/C1222-1,"")</f>
        <v/>
      </c>
      <c r="E1223" s="36">
        <f>IF(D1223="","",D1223-$C$12)</f>
        <v/>
      </c>
      <c r="F1223" s="35" t="n">
        <v>477493.5359449848</v>
      </c>
      <c r="G1223" s="36">
        <f>IF(F1222&gt;0,F1223/F1222-1,"")</f>
        <v/>
      </c>
      <c r="H1223" s="36">
        <f>IF(G1223="","",G1223-$D$12)</f>
        <v/>
      </c>
    </row>
    <row r="1224">
      <c r="B1224" s="34" t="inlineStr">
        <is>
          <t>2026-06-01</t>
        </is>
      </c>
      <c r="C1224" s="35" t="n">
        <v>499777.6706597307</v>
      </c>
      <c r="D1224" s="36">
        <f>IF(C1223&gt;0,C1224/C1223-1,"")</f>
        <v/>
      </c>
      <c r="E1224" s="36">
        <f>IF(D1224="","",D1224-$C$12)</f>
        <v/>
      </c>
      <c r="F1224" s="35" t="n">
        <v>474217.4943520621</v>
      </c>
      <c r="G1224" s="36">
        <f>IF(F1223&gt;0,F1224/F1223-1,"")</f>
        <v/>
      </c>
      <c r="H1224" s="36">
        <f>IF(G1224="","",G1224-$D$12)</f>
        <v/>
      </c>
    </row>
    <row r="1225">
      <c r="B1225" s="34" t="inlineStr">
        <is>
          <t>2026-06-02</t>
        </is>
      </c>
      <c r="C1225" s="35" t="n">
        <v>498745.0690542738</v>
      </c>
      <c r="D1225" s="36">
        <f>IF(C1224&gt;0,C1225/C1224-1,"")</f>
        <v/>
      </c>
      <c r="E1225" s="36">
        <f>IF(D1225="","",D1225-$C$12)</f>
        <v/>
      </c>
      <c r="F1225" s="35" t="n">
        <v>474070.6083206945</v>
      </c>
      <c r="G1225" s="36">
        <f>IF(F1224&gt;0,F1225/F1224-1,"")</f>
        <v/>
      </c>
      <c r="H1225" s="36">
        <f>IF(G1225="","",G1225-$D$12)</f>
        <v/>
      </c>
    </row>
    <row r="1226">
      <c r="B1226" s="34" t="inlineStr">
        <is>
          <t>2026-06-03</t>
        </is>
      </c>
      <c r="C1226" s="35" t="n">
        <v>497187.2261715955</v>
      </c>
      <c r="D1226" s="36">
        <f>IF(C1225&gt;0,C1226/C1225-1,"")</f>
        <v/>
      </c>
      <c r="E1226" s="36">
        <f>IF(D1226="","",D1226-$C$12)</f>
        <v/>
      </c>
      <c r="F1226" s="35" t="n">
        <v>474076.9884935981</v>
      </c>
      <c r="G1226" s="36">
        <f>IF(F1225&gt;0,F1226/F1225-1,"")</f>
        <v/>
      </c>
      <c r="H1226" s="36">
        <f>IF(G1226="","",G1226-$D$12)</f>
        <v/>
      </c>
    </row>
    <row r="1227">
      <c r="B1227" s="34" t="inlineStr">
        <is>
          <t>2026-06-04</t>
        </is>
      </c>
      <c r="C1227" s="35" t="n">
        <v>498997.5357882564</v>
      </c>
      <c r="D1227" s="36">
        <f>IF(C1226&gt;0,C1227/C1226-1,"")</f>
        <v/>
      </c>
      <c r="E1227" s="36">
        <f>IF(D1227="","",D1227-$C$12)</f>
        <v/>
      </c>
      <c r="F1227" s="35" t="n">
        <v>475660.9526002916</v>
      </c>
      <c r="G1227" s="36">
        <f>IF(F1226&gt;0,F1227/F1226-1,"")</f>
        <v/>
      </c>
      <c r="H1227" s="36">
        <f>IF(G1227="","",G1227-$D$12)</f>
        <v/>
      </c>
    </row>
    <row r="1228">
      <c r="B1228" s="34" t="inlineStr">
        <is>
          <t>2026-06-05</t>
        </is>
      </c>
      <c r="C1228" s="35" t="n">
        <v>497826.0008281457</v>
      </c>
      <c r="D1228" s="36">
        <f>IF(C1227&gt;0,C1228/C1227-1,"")</f>
        <v/>
      </c>
      <c r="E1228" s="36">
        <f>IF(D1228="","",D1228-$C$12)</f>
        <v/>
      </c>
      <c r="F1228" s="35" t="n">
        <v>474770.1878324255</v>
      </c>
      <c r="G1228" s="36">
        <f>IF(F1227&gt;0,F1228/F1227-1,"")</f>
        <v/>
      </c>
      <c r="H1228" s="36">
        <f>IF(G1228="","",G1228-$D$12)</f>
        <v/>
      </c>
    </row>
    <row r="1229">
      <c r="B1229" s="34" t="inlineStr">
        <is>
          <t>2026-06-08</t>
        </is>
      </c>
      <c r="C1229" s="35" t="n">
        <v>496688.4988864061</v>
      </c>
      <c r="D1229" s="36">
        <f>IF(C1228&gt;0,C1229/C1228-1,"")</f>
        <v/>
      </c>
      <c r="E1229" s="36">
        <f>IF(D1229="","",D1229-$C$12)</f>
        <v/>
      </c>
      <c r="F1229" s="35" t="n">
        <v>474525.9930615477</v>
      </c>
      <c r="G1229" s="36">
        <f>IF(F1228&gt;0,F1229/F1228-1,"")</f>
        <v/>
      </c>
      <c r="H1229" s="36">
        <f>IF(G1229="","",G1229-$D$12)</f>
        <v/>
      </c>
    </row>
    <row r="1230">
      <c r="B1230" s="34" t="inlineStr">
        <is>
          <t>2026-06-09</t>
        </is>
      </c>
      <c r="C1230" s="35" t="n">
        <v>496670.0503376502</v>
      </c>
      <c r="D1230" s="36">
        <f>IF(C1229&gt;0,C1230/C1229-1,"")</f>
        <v/>
      </c>
      <c r="E1230" s="36">
        <f>IF(D1230="","",D1230-$C$12)</f>
        <v/>
      </c>
      <c r="F1230" s="35" t="n">
        <v>474009.6718854471</v>
      </c>
      <c r="G1230" s="36">
        <f>IF(F1229&gt;0,F1230/F1229-1,"")</f>
        <v/>
      </c>
      <c r="H1230" s="36">
        <f>IF(G1230="","",G1230-$D$12)</f>
        <v/>
      </c>
    </row>
    <row r="1231">
      <c r="B1231" s="34" t="inlineStr">
        <is>
          <t>2026-06-10</t>
        </is>
      </c>
      <c r="C1231" s="35" t="n">
        <v>497687.5602895857</v>
      </c>
      <c r="D1231" s="36">
        <f>IF(C1230&gt;0,C1231/C1230-1,"")</f>
        <v/>
      </c>
      <c r="E1231" s="36">
        <f>IF(D1231="","",D1231-$C$12)</f>
        <v/>
      </c>
      <c r="F1231" s="35" t="n">
        <v>474861.3812943198</v>
      </c>
      <c r="G1231" s="36">
        <f>IF(F1230&gt;0,F1231/F1230-1,"")</f>
        <v/>
      </c>
      <c r="H1231" s="36">
        <f>IF(G1231="","",G1231-$D$12)</f>
        <v/>
      </c>
    </row>
    <row r="1232">
      <c r="B1232" s="34" t="inlineStr">
        <is>
          <t>2026-06-11</t>
        </is>
      </c>
      <c r="C1232" s="35" t="n">
        <v>498662.2676146316</v>
      </c>
      <c r="D1232" s="36">
        <f>IF(C1231&gt;0,C1232/C1231-1,"")</f>
        <v/>
      </c>
      <c r="E1232" s="36">
        <f>IF(D1232="","",D1232-$C$12)</f>
        <v/>
      </c>
      <c r="F1232" s="35" t="n">
        <v>475989.5211853238</v>
      </c>
      <c r="G1232" s="36">
        <f>IF(F1231&gt;0,F1232/F1231-1,"")</f>
        <v/>
      </c>
      <c r="H1232" s="36">
        <f>IF(G1232="","",G1232-$D$12)</f>
        <v/>
      </c>
    </row>
    <row r="1233">
      <c r="B1233" s="34" t="inlineStr">
        <is>
          <t>2026-06-12</t>
        </is>
      </c>
      <c r="C1233" s="35" t="n">
        <v>501990.909185162</v>
      </c>
      <c r="D1233" s="36">
        <f>IF(C1232&gt;0,C1233/C1232-1,"")</f>
        <v/>
      </c>
      <c r="E1233" s="36">
        <f>IF(D1233="","",D1233-$C$12)</f>
        <v/>
      </c>
      <c r="F1233" s="35" t="n">
        <v>478842.0137376456</v>
      </c>
      <c r="G1233" s="36">
        <f>IF(F1232&gt;0,F1233/F1232-1,"")</f>
        <v/>
      </c>
      <c r="H1233" s="36">
        <f>IF(G1233="","",G1233-$D$12)</f>
        <v/>
      </c>
    </row>
    <row r="1234">
      <c r="B1234" s="34" t="inlineStr">
        <is>
          <t>2026-06-15</t>
        </is>
      </c>
      <c r="C1234" s="35" t="n">
        <v>504141.5376952217</v>
      </c>
      <c r="D1234" s="36">
        <f>IF(C1233&gt;0,C1234/C1233-1,"")</f>
        <v/>
      </c>
      <c r="E1234" s="36">
        <f>IF(D1234="","",D1234-$C$12)</f>
        <v/>
      </c>
      <c r="F1234" s="35" t="n">
        <v>479916.674839532</v>
      </c>
      <c r="G1234" s="36">
        <f>IF(F1233&gt;0,F1234/F1233-1,"")</f>
        <v/>
      </c>
      <c r="H1234" s="36">
        <f>IF(G1234="","",G1234-$D$12)</f>
        <v/>
      </c>
    </row>
    <row r="1235">
      <c r="B1235" s="34" t="inlineStr">
        <is>
          <t>2026-06-16</t>
        </is>
      </c>
      <c r="C1235" s="35" t="n">
        <v>503567.7639494202</v>
      </c>
      <c r="D1235" s="36">
        <f>IF(C1234&gt;0,C1235/C1234-1,"")</f>
        <v/>
      </c>
      <c r="E1235" s="36">
        <f>IF(D1235="","",D1235-$C$12)</f>
        <v/>
      </c>
      <c r="F1235" s="35" t="n">
        <v>479666.5200007426</v>
      </c>
      <c r="G1235" s="36">
        <f>IF(F1234&gt;0,F1235/F1234-1,"")</f>
        <v/>
      </c>
      <c r="H1235" s="36">
        <f>IF(G1235="","",G1235-$D$12)</f>
        <v/>
      </c>
    </row>
    <row r="1236">
      <c r="B1236" s="34" t="inlineStr">
        <is>
          <t>2026-06-17</t>
        </is>
      </c>
      <c r="C1236" s="35" t="n">
        <v>504712.7865687321</v>
      </c>
      <c r="D1236" s="36">
        <f>IF(C1235&gt;0,C1236/C1235-1,"")</f>
        <v/>
      </c>
      <c r="E1236" s="36">
        <f>IF(D1236="","",D1236-$C$12)</f>
        <v/>
      </c>
      <c r="F1236" s="35" t="n">
        <v>481006.2675169369</v>
      </c>
      <c r="G1236" s="36">
        <f>IF(F1235&gt;0,F1236/F1235-1,"")</f>
        <v/>
      </c>
      <c r="H1236" s="36">
        <f>IF(G1236="","",G1236-$D$12)</f>
        <v/>
      </c>
    </row>
    <row r="1237">
      <c r="B1237" s="34" t="inlineStr">
        <is>
          <t>2026-06-18</t>
        </is>
      </c>
      <c r="C1237" s="35" t="n">
        <v>503153.9661138644</v>
      </c>
      <c r="D1237" s="36">
        <f>IF(C1236&gt;0,C1237/C1236-1,"")</f>
        <v/>
      </c>
      <c r="E1237" s="36">
        <f>IF(D1237="","",D1237-$C$12)</f>
        <v/>
      </c>
      <c r="F1237" s="35" t="n">
        <v>479367.8396376411</v>
      </c>
      <c r="G1237" s="36">
        <f>IF(F1236&gt;0,F1237/F1236-1,"")</f>
        <v/>
      </c>
      <c r="H1237" s="36">
        <f>IF(G1237="","",G1237-$D$12)</f>
        <v/>
      </c>
    </row>
    <row r="1238">
      <c r="B1238" s="34" t="inlineStr">
        <is>
          <t>2026-06-19</t>
        </is>
      </c>
      <c r="C1238" s="35" t="n">
        <v>503686.2411369825</v>
      </c>
      <c r="D1238" s="36">
        <f>IF(C1237&gt;0,C1238/C1237-1,"")</f>
        <v/>
      </c>
      <c r="E1238" s="36">
        <f>IF(D1238="","",D1238-$C$12)</f>
        <v/>
      </c>
      <c r="F1238" s="35" t="n">
        <v>479970.0751728689</v>
      </c>
      <c r="G1238" s="36">
        <f>IF(F1237&gt;0,F1238/F1237-1,"")</f>
        <v/>
      </c>
      <c r="H1238" s="36">
        <f>IF(G1238="","",G1238-$D$12)</f>
        <v/>
      </c>
    </row>
    <row r="1239">
      <c r="B1239" s="34" t="inlineStr">
        <is>
          <t>2026-06-22</t>
        </is>
      </c>
      <c r="C1239" s="35" t="n">
        <v>504808.0287244227</v>
      </c>
      <c r="D1239" s="36">
        <f>IF(C1238&gt;0,C1239/C1238-1,"")</f>
        <v/>
      </c>
      <c r="E1239" s="36">
        <f>IF(D1239="","",D1239-$C$12)</f>
        <v/>
      </c>
      <c r="F1239" s="35" t="n">
        <v>481599.4899937261</v>
      </c>
      <c r="G1239" s="36">
        <f>IF(F1238&gt;0,F1239/F1238-1,"")</f>
        <v/>
      </c>
      <c r="H1239" s="36">
        <f>IF(G1239="","",G1239-$D$12)</f>
        <v/>
      </c>
    </row>
    <row r="1240">
      <c r="B1240" s="34" t="inlineStr">
        <is>
          <t>2026-06-23</t>
        </is>
      </c>
      <c r="C1240" s="35" t="n">
        <v>505074.423849026</v>
      </c>
      <c r="D1240" s="36">
        <f>IF(C1239&gt;0,C1240/C1239-1,"")</f>
        <v/>
      </c>
      <c r="E1240" s="36">
        <f>IF(D1240="","",D1240-$C$12)</f>
        <v/>
      </c>
      <c r="F1240" s="35" t="n">
        <v>481879.0331423645</v>
      </c>
      <c r="G1240" s="36">
        <f>IF(F1239&gt;0,F1240/F1239-1,"")</f>
        <v/>
      </c>
      <c r="H1240" s="36">
        <f>IF(G1240="","",G1240-$D$12)</f>
        <v/>
      </c>
    </row>
    <row r="1241">
      <c r="B1241" s="34" t="inlineStr">
        <is>
          <t>2026-06-24</t>
        </is>
      </c>
      <c r="C1241" s="35" t="n">
        <v>506634.7168677546</v>
      </c>
      <c r="D1241" s="36">
        <f>IF(C1240&gt;0,C1241/C1240-1,"")</f>
        <v/>
      </c>
      <c r="E1241" s="36">
        <f>IF(D1241="","",D1241-$C$12)</f>
        <v/>
      </c>
      <c r="F1241" s="35" t="n">
        <v>483007.5350801855</v>
      </c>
      <c r="G1241" s="36">
        <f>IF(F1240&gt;0,F1241/F1240-1,"")</f>
        <v/>
      </c>
      <c r="H1241" s="36">
        <f>IF(G1241="","",G1241-$D$12)</f>
        <v/>
      </c>
    </row>
    <row r="1242">
      <c r="B1242" s="34" t="inlineStr">
        <is>
          <t>2026-06-25</t>
        </is>
      </c>
      <c r="C1242" s="35" t="n">
        <v>507675.4515378608</v>
      </c>
      <c r="D1242" s="36">
        <f>IF(C1241&gt;0,C1242/C1241-1,"")</f>
        <v/>
      </c>
      <c r="E1242" s="36">
        <f>IF(D1242="","",D1242-$C$12)</f>
        <v/>
      </c>
      <c r="F1242" s="35" t="n">
        <v>484106.5301109669</v>
      </c>
      <c r="G1242" s="36">
        <f>IF(F1241&gt;0,F1242/F1241-1,"")</f>
        <v/>
      </c>
      <c r="H1242" s="36">
        <f>IF(G1242="","",G1242-$D$12)</f>
        <v/>
      </c>
    </row>
    <row r="1243">
      <c r="B1243" s="34" t="inlineStr">
        <is>
          <t>2026-06-26</t>
        </is>
      </c>
      <c r="C1243" s="35" t="n">
        <v>507710.5563031199</v>
      </c>
      <c r="D1243" s="36">
        <f>IF(C1242&gt;0,C1243/C1242-1,"")</f>
        <v/>
      </c>
      <c r="E1243" s="36">
        <f>IF(D1243="","",D1243-$C$12)</f>
        <v/>
      </c>
      <c r="F1243" s="35" t="n">
        <v>483917.9582591423</v>
      </c>
      <c r="G1243" s="36">
        <f>IF(F1242&gt;0,F1243/F1242-1,"")</f>
        <v/>
      </c>
      <c r="H1243" s="36">
        <f>IF(G1243="","",G1243-$D$12)</f>
        <v/>
      </c>
    </row>
    <row r="1244">
      <c r="B1244" s="34" t="inlineStr">
        <is>
          <t>2026-06-29</t>
        </is>
      </c>
      <c r="C1244" s="35" t="n">
        <v>508102.1182751831</v>
      </c>
      <c r="D1244" s="36">
        <f>IF(C1243&gt;0,C1244/C1243-1,"")</f>
        <v/>
      </c>
      <c r="E1244" s="36">
        <f>IF(D1244="","",D1244-$C$12)</f>
        <v/>
      </c>
      <c r="F1244" s="35" t="n">
        <v>484217.3214537746</v>
      </c>
      <c r="G1244" s="36">
        <f>IF(F1243&gt;0,F1244/F1243-1,"")</f>
        <v/>
      </c>
      <c r="H1244" s="36">
        <f>IF(G1244="","",G1244-$D$12)</f>
        <v/>
      </c>
    </row>
    <row r="1245">
      <c r="B1245" s="34" t="inlineStr">
        <is>
          <t>2026-06-30</t>
        </is>
      </c>
      <c r="C1245" s="35" t="n">
        <v>508176.9752258344</v>
      </c>
      <c r="D1245" s="36">
        <f>IF(C1244&gt;0,C1245/C1244-1,"")</f>
        <v/>
      </c>
      <c r="E1245" s="36">
        <f>IF(D1245="","",D1245-$C$12)</f>
        <v/>
      </c>
      <c r="F1245" s="35" t="n">
        <v>484632.6226904374</v>
      </c>
      <c r="G1245" s="36">
        <f>IF(F1244&gt;0,F1245/F1244-1,"")</f>
        <v/>
      </c>
      <c r="H1245" s="36">
        <f>IF(G1245="","",G1245-$D$12)</f>
        <v/>
      </c>
    </row>
    <row r="1246">
      <c r="B1246" s="34" t="inlineStr">
        <is>
          <t>2026-07-01</t>
        </is>
      </c>
      <c r="C1246" s="35" t="n">
        <v>507920.8007784392</v>
      </c>
      <c r="D1246" s="36">
        <f>IF(C1245&gt;0,C1246/C1245-1,"")</f>
        <v/>
      </c>
      <c r="E1246" s="36">
        <f>IF(D1246="","",D1246-$C$12)</f>
        <v/>
      </c>
      <c r="F1246" s="35" t="n">
        <v>484844.1142023634</v>
      </c>
      <c r="G1246" s="36">
        <f>IF(F1245&gt;0,F1246/F1245-1,"")</f>
        <v/>
      </c>
      <c r="H1246" s="36">
        <f>IF(G1246="","",G1246-$D$12)</f>
        <v/>
      </c>
    </row>
    <row r="1247">
      <c r="B1247" s="34" t="inlineStr">
        <is>
          <t>2026-07-02</t>
        </is>
      </c>
      <c r="C1247" s="35" t="n">
        <v>512911.1501185245</v>
      </c>
      <c r="D1247" s="36">
        <f>IF(C1246&gt;0,C1247/C1246-1,"")</f>
        <v/>
      </c>
      <c r="E1247" s="36">
        <f>IF(D1247="","",D1247-$C$12)</f>
        <v/>
      </c>
      <c r="F1247" s="35" t="n">
        <v>490109.7939611734</v>
      </c>
      <c r="G1247" s="36">
        <f>IF(F1246&gt;0,F1247/F1246-1,"")</f>
        <v/>
      </c>
      <c r="H1247" s="36">
        <f>IF(G1247="","",G1247-$D$12)</f>
        <v/>
      </c>
    </row>
    <row r="1248">
      <c r="B1248" s="34" t="inlineStr">
        <is>
          <t>2026-07-03</t>
        </is>
      </c>
      <c r="C1248" s="35" t="n">
        <v>513857.9540733956</v>
      </c>
      <c r="D1248" s="36">
        <f>IF(C1247&gt;0,C1248/C1247-1,"")</f>
        <v/>
      </c>
      <c r="E1248" s="36">
        <f>IF(D1248="","",D1248-$C$12)</f>
        <v/>
      </c>
      <c r="F1248" s="35" t="n">
        <v>491752.7525441237</v>
      </c>
      <c r="G1248" s="36">
        <f>IF(F1247&gt;0,F1248/F1247-1,"")</f>
        <v/>
      </c>
      <c r="H1248" s="36">
        <f>IF(G1248="","",G1248-$D$12)</f>
        <v/>
      </c>
    </row>
    <row r="1249">
      <c r="B1249" s="34" t="inlineStr">
        <is>
          <t>2026-07-06</t>
        </is>
      </c>
      <c r="C1249" s="35" t="n">
        <v>513275.5139485451</v>
      </c>
      <c r="D1249" s="36">
        <f>IF(C1248&gt;0,C1249/C1248-1,"")</f>
        <v/>
      </c>
      <c r="E1249" s="36">
        <f>IF(D1249="","",D1249-$C$12)</f>
        <v/>
      </c>
      <c r="F1249" s="35" t="n">
        <v>491378.5875313844</v>
      </c>
      <c r="G1249" s="36">
        <f>IF(F1248&gt;0,F1249/F1248-1,"")</f>
        <v/>
      </c>
      <c r="H1249" s="36">
        <f>IF(G1249="","",G1249-$D$12)</f>
        <v/>
      </c>
    </row>
    <row r="1250">
      <c r="B1250" s="34" t="inlineStr">
        <is>
          <t>2026-07-07</t>
        </is>
      </c>
      <c r="C1250" s="35" t="n">
        <v>515396.6809149201</v>
      </c>
      <c r="D1250" s="36">
        <f>IF(C1249&gt;0,C1250/C1249-1,"")</f>
        <v/>
      </c>
      <c r="E1250" s="36">
        <f>IF(D1250="","",D1250-$C$12)</f>
        <v/>
      </c>
      <c r="F1250" s="35" t="n">
        <v>493403.6747746938</v>
      </c>
      <c r="G1250" s="36">
        <f>IF(F1249&gt;0,F1250/F1249-1,"")</f>
        <v/>
      </c>
      <c r="H1250" s="36">
        <f>IF(G1250="","",G1250-$D$12)</f>
        <v/>
      </c>
    </row>
    <row r="1251">
      <c r="B1251" s="34" t="inlineStr">
        <is>
          <t>2026-07-08</t>
        </is>
      </c>
      <c r="C1251" s="35" t="n">
        <v>512312.8516991727</v>
      </c>
      <c r="D1251" s="36">
        <f>IF(C1250&gt;0,C1251/C1250-1,"")</f>
        <v/>
      </c>
      <c r="E1251" s="36">
        <f>IF(D1251="","",D1251-$C$12)</f>
        <v/>
      </c>
      <c r="F1251" s="35" t="n">
        <v>491362.0810108897</v>
      </c>
      <c r="G1251" s="36">
        <f>IF(F1250&gt;0,F1251/F1250-1,"")</f>
        <v/>
      </c>
      <c r="H1251" s="36">
        <f>IF(G1251="","",G1251-$D$12)</f>
        <v/>
      </c>
    </row>
    <row r="1252">
      <c r="B1252" s="34" t="inlineStr">
        <is>
          <t>2026-07-09</t>
        </is>
      </c>
      <c r="C1252" s="35" t="n">
        <v>512440.3124252711</v>
      </c>
      <c r="D1252" s="36">
        <f>IF(C1251&gt;0,C1252/C1251-1,"")</f>
        <v/>
      </c>
      <c r="E1252" s="36">
        <f>IF(D1252="","",D1252-$C$12)</f>
        <v/>
      </c>
      <c r="F1252" s="35" t="n">
        <v>492169.5574361846</v>
      </c>
      <c r="G1252" s="36">
        <f>IF(F1251&gt;0,F1252/F1251-1,"")</f>
        <v/>
      </c>
      <c r="H1252" s="36">
        <f>IF(G1252="","",G1252-$D$12)</f>
        <v/>
      </c>
    </row>
    <row r="1253">
      <c r="B1253" s="34" t="inlineStr">
        <is>
          <t>2026-07-10</t>
        </is>
      </c>
      <c r="C1253" s="35" t="n">
        <v>513433.0763443326</v>
      </c>
      <c r="D1253" s="36">
        <f>IF(C1252&gt;0,C1253/C1252-1,"")</f>
        <v/>
      </c>
      <c r="E1253" s="36">
        <f>IF(D1253="","",D1253-$C$12)</f>
        <v/>
      </c>
      <c r="F1253" s="35" t="n">
        <v>492949.8886309019</v>
      </c>
      <c r="G1253" s="36">
        <f>IF(F1252&gt;0,F1253/F1252-1,"")</f>
        <v/>
      </c>
      <c r="H1253" s="36">
        <f>IF(G1253="","",G1253-$D$12)</f>
        <v/>
      </c>
    </row>
    <row r="1254">
      <c r="B1254" s="34" t="inlineStr">
        <is>
          <t>2026-07-13</t>
        </is>
      </c>
      <c r="C1254" s="35" t="n">
        <v>514157.2716705615</v>
      </c>
      <c r="D1254" s="36">
        <f>IF(C1253&gt;0,C1254/C1253-1,"")</f>
        <v/>
      </c>
      <c r="E1254" s="36">
        <f>IF(D1254="","",D1254-$C$12)</f>
        <v/>
      </c>
      <c r="F1254" s="35" t="n">
        <v>494147.3497993773</v>
      </c>
      <c r="G1254" s="36">
        <f>IF(F1253&gt;0,F1254/F1253-1,"")</f>
        <v/>
      </c>
      <c r="H1254" s="36">
        <f>IF(G1254="","",G1254-$D$12)</f>
        <v/>
      </c>
    </row>
    <row r="1255">
      <c r="B1255" s="34" t="inlineStr">
        <is>
          <t>2026-07-14</t>
        </is>
      </c>
      <c r="C1255" s="35" t="n">
        <v>514680.930381249</v>
      </c>
      <c r="D1255" s="36">
        <f>IF(C1254&gt;0,C1255/C1254-1,"")</f>
        <v/>
      </c>
      <c r="E1255" s="36">
        <f>IF(D1255="","",D1255-$C$12)</f>
        <v/>
      </c>
      <c r="F1255" s="35" t="n">
        <v>495415.0705450772</v>
      </c>
      <c r="G1255" s="36">
        <f>IF(F1254&gt;0,F1255/F1254-1,"")</f>
        <v/>
      </c>
      <c r="H1255" s="36">
        <f>IF(G1255="","",G1255-$D$12)</f>
        <v/>
      </c>
    </row>
    <row r="1256">
      <c r="B1256" s="34" t="inlineStr">
        <is>
          <t>2026-07-15</t>
        </is>
      </c>
      <c r="C1256" s="35" t="n">
        <v>514142.469948306</v>
      </c>
      <c r="D1256" s="36">
        <f>IF(C1255&gt;0,C1256/C1255-1,"")</f>
        <v/>
      </c>
      <c r="E1256" s="36">
        <f>IF(D1256="","",D1256-$C$12)</f>
        <v/>
      </c>
      <c r="F1256" s="35" t="n">
        <v>495484.4360807686</v>
      </c>
      <c r="G1256" s="36">
        <f>IF(F1255&gt;0,F1256/F1255-1,"")</f>
        <v/>
      </c>
      <c r="H1256" s="36">
        <f>IF(G1256="","",G1256-$D$12)</f>
        <v/>
      </c>
    </row>
    <row r="1257">
      <c r="B1257" s="34" t="inlineStr">
        <is>
          <t>2026-07-16</t>
        </is>
      </c>
      <c r="C1257" s="35" t="n">
        <v>512995.5298739208</v>
      </c>
      <c r="D1257" s="36">
        <f>IF(C1256&gt;0,C1257/C1256-1,"")</f>
        <v/>
      </c>
      <c r="E1257" s="36">
        <f>IF(D1257="","",D1257-$C$12)</f>
        <v/>
      </c>
      <c r="F1257" s="35" t="n">
        <v>494897.2117015468</v>
      </c>
      <c r="G1257" s="36">
        <f>IF(F1256&gt;0,F1257/F1256-1,"")</f>
        <v/>
      </c>
      <c r="H1257" s="36">
        <f>IF(G1257="","",G1257-$D$12)</f>
        <v/>
      </c>
    </row>
    <row r="1258">
      <c r="B1258" s="34" t="inlineStr">
        <is>
          <t>2026-07-17</t>
        </is>
      </c>
      <c r="C1258" s="35" t="n">
        <v>514968.6722427503</v>
      </c>
      <c r="D1258" s="36">
        <f>IF(C1257&gt;0,C1258/C1257-1,"")</f>
        <v/>
      </c>
      <c r="E1258" s="36">
        <f>IF(D1258="","",D1258-$C$12)</f>
        <v/>
      </c>
      <c r="F1258" s="35" t="n">
        <v>497141.2411008304</v>
      </c>
      <c r="G1258" s="36">
        <f>IF(F1257&gt;0,F1258/F1257-1,"")</f>
        <v/>
      </c>
      <c r="H1258" s="36">
        <f>IF(G1258="","",G1258-$D$12)</f>
        <v/>
      </c>
    </row>
    <row r="1259">
      <c r="B1259" s="34" t="inlineStr">
        <is>
          <t>2026-07-20</t>
        </is>
      </c>
      <c r="C1259" s="35" t="n">
        <v>513247.9849597245</v>
      </c>
      <c r="D1259" s="36">
        <f>IF(C1258&gt;0,C1259/C1258-1,"")</f>
        <v/>
      </c>
      <c r="E1259" s="36">
        <f>IF(D1259="","",D1259-$C$12)</f>
        <v/>
      </c>
      <c r="F1259" s="35" t="n">
        <v>495554.481686933</v>
      </c>
      <c r="G1259" s="36">
        <f>IF(F1258&gt;0,F1259/F1258-1,"")</f>
        <v/>
      </c>
      <c r="H1259" s="36">
        <f>IF(G1259="","",G1259-$D$12)</f>
        <v/>
      </c>
    </row>
    <row r="1260">
      <c r="B1260" s="34" t="inlineStr">
        <is>
          <t>2026-07-21</t>
        </is>
      </c>
      <c r="C1260" s="35" t="n">
        <v>512964.1484511774</v>
      </c>
      <c r="D1260" s="36">
        <f>IF(C1259&gt;0,C1260/C1259-1,"")</f>
        <v/>
      </c>
      <c r="E1260" s="36">
        <f>IF(D1260="","",D1260-$C$12)</f>
        <v/>
      </c>
      <c r="F1260" s="35" t="n">
        <v>495763.4268516706</v>
      </c>
      <c r="G1260" s="36">
        <f>IF(F1259&gt;0,F1260/F1259-1,"")</f>
        <v/>
      </c>
      <c r="H1260" s="36">
        <f>IF(G1260="","",G1260-$D$12)</f>
        <v/>
      </c>
    </row>
    <row r="1261">
      <c r="B1261" s="34" t="inlineStr">
        <is>
          <t>2026-07-22</t>
        </is>
      </c>
      <c r="C1261" s="35" t="n">
        <v>514878.7070462148</v>
      </c>
      <c r="D1261" s="36">
        <f>IF(C1260&gt;0,C1261/C1260-1,"")</f>
        <v/>
      </c>
      <c r="E1261" s="36">
        <f>IF(D1261="","",D1261-$C$12)</f>
        <v/>
      </c>
      <c r="F1261" s="35" t="n">
        <v>497352.0400223007</v>
      </c>
      <c r="G1261" s="36">
        <f>IF(F1260&gt;0,F1261/F1260-1,"")</f>
        <v/>
      </c>
      <c r="H1261" s="36">
        <f>IF(G1261="","",G1261-$D$12)</f>
        <v/>
      </c>
    </row>
    <row r="1262">
      <c r="B1262" s="34" t="inlineStr">
        <is>
          <t>2026-07-23</t>
        </is>
      </c>
      <c r="C1262" s="35" t="n">
        <v>512553.0503906359</v>
      </c>
      <c r="D1262" s="36">
        <f>IF(C1261&gt;0,C1262/C1261-1,"")</f>
        <v/>
      </c>
      <c r="E1262" s="36">
        <f>IF(D1262="","",D1262-$C$12)</f>
        <v/>
      </c>
      <c r="F1262" s="35" t="n">
        <v>496084.8182285044</v>
      </c>
      <c r="G1262" s="36">
        <f>IF(F1261&gt;0,F1262/F1261-1,"")</f>
        <v/>
      </c>
      <c r="H1262" s="36">
        <f>IF(G1262="","",G1262-$D$12)</f>
        <v/>
      </c>
    </row>
    <row r="1263">
      <c r="B1263" s="34" t="inlineStr">
        <is>
          <t>2026-07-24</t>
        </is>
      </c>
      <c r="C1263" s="35" t="n">
        <v>513081.8386008141</v>
      </c>
      <c r="D1263" s="36">
        <f>IF(C1262&gt;0,C1263/C1262-1,"")</f>
        <v/>
      </c>
      <c r="E1263" s="36">
        <f>IF(D1263="","",D1263-$C$12)</f>
        <v/>
      </c>
      <c r="F1263" s="35" t="n">
        <v>497546.469207558</v>
      </c>
      <c r="G1263" s="36">
        <f>IF(F1262&gt;0,F1263/F1262-1,"")</f>
        <v/>
      </c>
      <c r="H1263" s="36">
        <f>IF(G1263="","",G1263-$D$12)</f>
        <v/>
      </c>
    </row>
    <row r="1264">
      <c r="B1264" s="34" t="inlineStr">
        <is>
          <t>2026-07-27</t>
        </is>
      </c>
      <c r="C1264" s="35" t="n">
        <v>514957.5976047919</v>
      </c>
      <c r="D1264" s="36">
        <f>IF(C1263&gt;0,C1264/C1263-1,"")</f>
        <v/>
      </c>
      <c r="E1264" s="36">
        <f>IF(D1264="","",D1264-$C$12)</f>
        <v/>
      </c>
      <c r="F1264" s="35" t="n">
        <v>498126.1613382813</v>
      </c>
      <c r="G1264" s="36">
        <f>IF(F1263&gt;0,F1264/F1263-1,"")</f>
        <v/>
      </c>
      <c r="H1264" s="36">
        <f>IF(G1264="","",G1264-$D$12)</f>
        <v/>
      </c>
    </row>
    <row r="1265">
      <c r="B1265" s="34" t="inlineStr">
        <is>
          <t>2026-07-28</t>
        </is>
      </c>
      <c r="C1265" s="35" t="n">
        <v>516370.253818305</v>
      </c>
      <c r="D1265" s="36">
        <f>IF(C1264&gt;0,C1265/C1264-1,"")</f>
        <v/>
      </c>
      <c r="E1265" s="36">
        <f>IF(D1265="","",D1265-$C$12)</f>
        <v/>
      </c>
      <c r="F1265" s="35" t="n">
        <v>499205.2913603998</v>
      </c>
      <c r="G1265" s="36">
        <f>IF(F1264&gt;0,F1265/F1264-1,"")</f>
        <v/>
      </c>
      <c r="H1265" s="36">
        <f>IF(G1265="","",G1265-$D$12)</f>
        <v/>
      </c>
    </row>
    <row r="1266">
      <c r="B1266" s="34" t="inlineStr">
        <is>
          <t>2026-07-29</t>
        </is>
      </c>
      <c r="C1266" s="35" t="n">
        <v>515273.2941728861</v>
      </c>
      <c r="D1266" s="36">
        <f>IF(C1265&gt;0,C1266/C1265-1,"")</f>
        <v/>
      </c>
      <c r="E1266" s="36">
        <f>IF(D1266="","",D1266-$C$12)</f>
        <v/>
      </c>
      <c r="F1266" s="35" t="n">
        <v>498116.6621649362</v>
      </c>
      <c r="G1266" s="36">
        <f>IF(F1265&gt;0,F1266/F1265-1,"")</f>
        <v/>
      </c>
      <c r="H1266" s="36">
        <f>IF(G1266="","",G1266-$D$12)</f>
        <v/>
      </c>
    </row>
    <row r="1267">
      <c r="B1267" s="34" t="inlineStr">
        <is>
          <t>2026-07-30</t>
        </is>
      </c>
      <c r="C1267" s="35" t="n">
        <v>514279.3687434313</v>
      </c>
      <c r="D1267" s="36">
        <f>IF(C1266&gt;0,C1267/C1266-1,"")</f>
        <v/>
      </c>
      <c r="E1267" s="36">
        <f>IF(D1267="","",D1267-$C$12)</f>
        <v/>
      </c>
      <c r="F1267" s="35" t="n">
        <v>497932.0086841625</v>
      </c>
      <c r="G1267" s="36">
        <f>IF(F1266&gt;0,F1267/F1266-1,"")</f>
        <v/>
      </c>
      <c r="H1267" s="36">
        <f>IF(G1267="","",G1267-$D$12)</f>
        <v/>
      </c>
    </row>
    <row r="1268">
      <c r="B1268" s="34" t="inlineStr">
        <is>
          <t>2026-07-31</t>
        </is>
      </c>
      <c r="C1268" s="35" t="n">
        <v>512274.2922163096</v>
      </c>
      <c r="D1268" s="36">
        <f>IF(C1267&gt;0,C1268/C1267-1,"")</f>
        <v/>
      </c>
      <c r="E1268" s="36">
        <f>IF(D1268="","",D1268-$C$12)</f>
        <v/>
      </c>
      <c r="F1268" s="35" t="n">
        <v>496050.6857168204</v>
      </c>
      <c r="G1268" s="36">
        <f>IF(F1267&gt;0,F1268/F1267-1,"")</f>
        <v/>
      </c>
      <c r="H1268" s="36">
        <f>IF(G1268="","",G1268-$D$12)</f>
        <v/>
      </c>
    </row>
    <row r="1269">
      <c r="B1269" s="34" t="inlineStr">
        <is>
          <t>2026-08-03</t>
        </is>
      </c>
      <c r="C1269" s="35" t="n">
        <v>515777.789854197</v>
      </c>
      <c r="D1269" s="36">
        <f>IF(C1268&gt;0,C1269/C1268-1,"")</f>
        <v/>
      </c>
      <c r="E1269" s="36">
        <f>IF(D1269="","",D1269-$C$12)</f>
        <v/>
      </c>
      <c r="F1269" s="35" t="n">
        <v>499024.4196781277</v>
      </c>
      <c r="G1269" s="36">
        <f>IF(F1268&gt;0,F1269/F1268-1,"")</f>
        <v/>
      </c>
      <c r="H1269" s="36">
        <f>IF(G1269="","",G1269-$D$12)</f>
        <v/>
      </c>
    </row>
    <row r="1270">
      <c r="B1270" s="34" t="inlineStr">
        <is>
          <t>2026-08-04</t>
        </is>
      </c>
      <c r="C1270" s="35" t="n">
        <v>516661.5574410844</v>
      </c>
      <c r="D1270" s="36">
        <f>IF(C1269&gt;0,C1270/C1269-1,"")</f>
        <v/>
      </c>
      <c r="E1270" s="36">
        <f>IF(D1270="","",D1270-$C$12)</f>
        <v/>
      </c>
      <c r="F1270" s="35" t="n">
        <v>499398.936835119</v>
      </c>
      <c r="G1270" s="36">
        <f>IF(F1269&gt;0,F1270/F1269-1,"")</f>
        <v/>
      </c>
      <c r="H1270" s="36">
        <f>IF(G1270="","",G1270-$D$12)</f>
        <v/>
      </c>
    </row>
    <row r="1271">
      <c r="B1271" s="34" t="inlineStr">
        <is>
          <t>2026-08-05</t>
        </is>
      </c>
      <c r="C1271" s="35" t="n">
        <v>517386.9741700406</v>
      </c>
      <c r="D1271" s="36">
        <f>IF(C1270&gt;0,C1271/C1270-1,"")</f>
        <v/>
      </c>
      <c r="E1271" s="36">
        <f>IF(D1271="","",D1271-$C$12)</f>
        <v/>
      </c>
      <c r="F1271" s="35" t="n">
        <v>500475.20231809</v>
      </c>
      <c r="G1271" s="36">
        <f>IF(F1270&gt;0,F1271/F1270-1,"")</f>
        <v/>
      </c>
      <c r="H1271" s="36">
        <f>IF(G1271="","",G1271-$D$12)</f>
        <v/>
      </c>
    </row>
    <row r="1272">
      <c r="B1272" s="34" t="inlineStr">
        <is>
          <t>2026-08-06</t>
        </is>
      </c>
      <c r="C1272" s="35" t="n">
        <v>517287.4926481377</v>
      </c>
      <c r="D1272" s="36">
        <f>IF(C1271&gt;0,C1272/C1271-1,"")</f>
        <v/>
      </c>
      <c r="E1272" s="36">
        <f>IF(D1272="","",D1272-$C$12)</f>
        <v/>
      </c>
      <c r="F1272" s="35" t="n">
        <v>501272.6441100841</v>
      </c>
      <c r="G1272" s="36">
        <f>IF(F1271&gt;0,F1272/F1271-1,"")</f>
        <v/>
      </c>
      <c r="H1272" s="36">
        <f>IF(G1272="","",G1272-$D$12)</f>
        <v/>
      </c>
    </row>
    <row r="1273">
      <c r="B1273" s="34" t="inlineStr">
        <is>
          <t>2026-08-07</t>
        </is>
      </c>
      <c r="C1273" s="35" t="n">
        <v>519033.1835500329</v>
      </c>
      <c r="D1273" s="36">
        <f>IF(C1272&gt;0,C1273/C1272-1,"")</f>
        <v/>
      </c>
      <c r="E1273" s="36">
        <f>IF(D1273="","",D1273-$C$12)</f>
        <v/>
      </c>
      <c r="F1273" s="35" t="n">
        <v>502938.9470631131</v>
      </c>
      <c r="G1273" s="36">
        <f>IF(F1272&gt;0,F1273/F1272-1,"")</f>
        <v/>
      </c>
      <c r="H1273" s="36">
        <f>IF(G1273="","",G1273-$D$12)</f>
        <v/>
      </c>
    </row>
    <row r="1274">
      <c r="B1274" s="34" t="inlineStr">
        <is>
          <t>2026-08-10</t>
        </is>
      </c>
      <c r="C1274" s="35" t="n">
        <v>519546.0751281805</v>
      </c>
      <c r="D1274" s="36">
        <f>IF(C1273&gt;0,C1274/C1273-1,"")</f>
        <v/>
      </c>
      <c r="E1274" s="36">
        <f>IF(D1274="","",D1274-$C$12)</f>
        <v/>
      </c>
      <c r="F1274" s="35" t="n">
        <v>503767.6419524325</v>
      </c>
      <c r="G1274" s="36">
        <f>IF(F1273&gt;0,F1274/F1273-1,"")</f>
        <v/>
      </c>
      <c r="H1274" s="36">
        <f>IF(G1274="","",G1274-$D$12)</f>
        <v/>
      </c>
    </row>
    <row r="1275">
      <c r="B1275" s="34" t="inlineStr">
        <is>
          <t>2026-08-11</t>
        </is>
      </c>
      <c r="C1275" s="35" t="n">
        <v>518577.9851874295</v>
      </c>
      <c r="D1275" s="36">
        <f>IF(C1274&gt;0,C1275/C1274-1,"")</f>
        <v/>
      </c>
      <c r="E1275" s="36">
        <f>IF(D1275="","",D1275-$C$12)</f>
        <v/>
      </c>
      <c r="F1275" s="35" t="n">
        <v>503282.9208317138</v>
      </c>
      <c r="G1275" s="36">
        <f>IF(F1274&gt;0,F1275/F1274-1,"")</f>
        <v/>
      </c>
      <c r="H1275" s="36">
        <f>IF(G1275="","",G1275-$D$12)</f>
        <v/>
      </c>
    </row>
    <row r="1276">
      <c r="B1276" s="34" t="inlineStr">
        <is>
          <t>2026-08-12</t>
        </is>
      </c>
      <c r="C1276" s="35" t="n">
        <v>517635.5617121885</v>
      </c>
      <c r="D1276" s="36">
        <f>IF(C1275&gt;0,C1276/C1275-1,"")</f>
        <v/>
      </c>
      <c r="E1276" s="36">
        <f>IF(D1276="","",D1276-$C$12)</f>
        <v/>
      </c>
      <c r="F1276" s="35" t="n">
        <v>503040.338947574</v>
      </c>
      <c r="G1276" s="36">
        <f>IF(F1275&gt;0,F1276/F1275-1,"")</f>
        <v/>
      </c>
      <c r="H1276" s="36">
        <f>IF(G1276="","",G1276-$D$12)</f>
        <v/>
      </c>
    </row>
    <row r="1277">
      <c r="B1277" s="34" t="inlineStr">
        <is>
          <t>2026-08-13</t>
        </is>
      </c>
      <c r="C1277" s="35" t="n">
        <v>518308.2616475118</v>
      </c>
      <c r="D1277" s="36">
        <f>IF(C1276&gt;0,C1277/C1276-1,"")</f>
        <v/>
      </c>
      <c r="E1277" s="36">
        <f>IF(D1277="","",D1277-$C$12)</f>
        <v/>
      </c>
      <c r="F1277" s="35" t="n">
        <v>503072.0423639716</v>
      </c>
      <c r="G1277" s="36">
        <f>IF(F1276&gt;0,F1277/F1276-1,"")</f>
        <v/>
      </c>
      <c r="H1277" s="36">
        <f>IF(G1277="","",G1277-$D$12)</f>
        <v/>
      </c>
    </row>
    <row r="1278">
      <c r="B1278" s="34" t="inlineStr">
        <is>
          <t>2026-08-14</t>
        </is>
      </c>
      <c r="C1278" s="35" t="n">
        <v>517672.4185875757</v>
      </c>
      <c r="D1278" s="36">
        <f>IF(C1277&gt;0,C1278/C1277-1,"")</f>
        <v/>
      </c>
      <c r="E1278" s="36">
        <f>IF(D1278="","",D1278-$C$12)</f>
        <v/>
      </c>
      <c r="F1278" s="35" t="n">
        <v>502995.624526859</v>
      </c>
      <c r="G1278" s="36">
        <f>IF(F1277&gt;0,F1278/F1277-1,"")</f>
        <v/>
      </c>
      <c r="H1278" s="36">
        <f>IF(G1278="","",G1278-$D$12)</f>
        <v/>
      </c>
    </row>
    <row r="1279">
      <c r="B1279" s="34" t="inlineStr">
        <is>
          <t>2026-08-17</t>
        </is>
      </c>
      <c r="C1279" s="35" t="n">
        <v>517339.3609989171</v>
      </c>
      <c r="D1279" s="36">
        <f>IF(C1278&gt;0,C1279/C1278-1,"")</f>
        <v/>
      </c>
      <c r="E1279" s="36">
        <f>IF(D1279="","",D1279-$C$12)</f>
        <v/>
      </c>
      <c r="F1279" s="35" t="n">
        <v>502866.8384348216</v>
      </c>
      <c r="G1279" s="36">
        <f>IF(F1278&gt;0,F1279/F1278-1,"")</f>
        <v/>
      </c>
      <c r="H1279" s="36">
        <f>IF(G1279="","",G1279-$D$12)</f>
        <v/>
      </c>
    </row>
    <row r="1280">
      <c r="B1280" s="34" t="inlineStr">
        <is>
          <t>2026-08-18</t>
        </is>
      </c>
      <c r="C1280" s="35" t="n">
        <v>517084.4933243998</v>
      </c>
      <c r="D1280" s="36">
        <f>IF(C1279&gt;0,C1280/C1279-1,"")</f>
        <v/>
      </c>
      <c r="E1280" s="36">
        <f>IF(D1280="","",D1280-$C$12)</f>
        <v/>
      </c>
      <c r="F1280" s="35" t="n">
        <v>503064.0687672727</v>
      </c>
      <c r="G1280" s="36">
        <f>IF(F1279&gt;0,F1280/F1279-1,"")</f>
        <v/>
      </c>
      <c r="H1280" s="36">
        <f>IF(G1280="","",G1280-$D$12)</f>
        <v/>
      </c>
    </row>
    <row r="1281">
      <c r="B1281" s="34" t="inlineStr">
        <is>
          <t>2026-08-19</t>
        </is>
      </c>
      <c r="C1281" s="35" t="n">
        <v>520574.0990800692</v>
      </c>
      <c r="D1281" s="36">
        <f>IF(C1280&gt;0,C1281/C1280-1,"")</f>
        <v/>
      </c>
      <c r="E1281" s="36">
        <f>IF(D1281="","",D1281-$C$12)</f>
        <v/>
      </c>
      <c r="F1281" s="35" t="n">
        <v>506080.3475505997</v>
      </c>
      <c r="G1281" s="36">
        <f>IF(F1280&gt;0,F1281/F1280-1,"")</f>
        <v/>
      </c>
      <c r="H1281" s="36">
        <f>IF(G1281="","",G1281-$D$12)</f>
        <v/>
      </c>
    </row>
    <row r="1282">
      <c r="B1282" s="34" t="inlineStr">
        <is>
          <t>2026-08-20</t>
        </is>
      </c>
      <c r="C1282" s="35" t="n">
        <v>516630.3709358655</v>
      </c>
      <c r="D1282" s="36">
        <f>IF(C1281&gt;0,C1282/C1281-1,"")</f>
        <v/>
      </c>
      <c r="E1282" s="36">
        <f>IF(D1282="","",D1282-$C$12)</f>
        <v/>
      </c>
      <c r="F1282" s="35" t="n">
        <v>502060.1731620904</v>
      </c>
      <c r="G1282" s="36">
        <f>IF(F1281&gt;0,F1282/F1281-1,"")</f>
        <v/>
      </c>
      <c r="H1282" s="36">
        <f>IF(G1282="","",G1282-$D$12)</f>
        <v/>
      </c>
    </row>
    <row r="1283">
      <c r="B1283" s="34" t="inlineStr">
        <is>
          <t>2026-08-21</t>
        </is>
      </c>
      <c r="C1283" s="35" t="n">
        <v>519589.8834711374</v>
      </c>
      <c r="D1283" s="36">
        <f>IF(C1282&gt;0,C1283/C1282-1,"")</f>
        <v/>
      </c>
      <c r="E1283" s="36">
        <f>IF(D1283="","",D1283-$C$12)</f>
        <v/>
      </c>
      <c r="F1283" s="35" t="n">
        <v>505407.1614685737</v>
      </c>
      <c r="G1283" s="36">
        <f>IF(F1282&gt;0,F1283/F1282-1,"")</f>
        <v/>
      </c>
      <c r="H1283" s="36">
        <f>IF(G1283="","",G1283-$D$12)</f>
        <v/>
      </c>
    </row>
    <row r="1284">
      <c r="B1284" s="34" t="inlineStr">
        <is>
          <t>2026-08-24</t>
        </is>
      </c>
      <c r="C1284" s="35" t="n">
        <v>519971.4607681014</v>
      </c>
      <c r="D1284" s="36">
        <f>IF(C1283&gt;0,C1284/C1283-1,"")</f>
        <v/>
      </c>
      <c r="E1284" s="36">
        <f>IF(D1284="","",D1284-$C$12)</f>
        <v/>
      </c>
      <c r="F1284" s="35" t="n">
        <v>505669.6504367546</v>
      </c>
      <c r="G1284" s="36">
        <f>IF(F1283&gt;0,F1284/F1283-1,"")</f>
        <v/>
      </c>
      <c r="H1284" s="36">
        <f>IF(G1284="","",G1284-$D$12)</f>
        <v/>
      </c>
    </row>
    <row r="1285">
      <c r="B1285" s="34" t="inlineStr">
        <is>
          <t>2026-08-25</t>
        </is>
      </c>
      <c r="C1285" s="35" t="n">
        <v>525212.9559067774</v>
      </c>
      <c r="D1285" s="36">
        <f>IF(C1284&gt;0,C1285/C1284-1,"")</f>
        <v/>
      </c>
      <c r="E1285" s="36">
        <f>IF(D1285="","",D1285-$C$12)</f>
        <v/>
      </c>
      <c r="F1285" s="35" t="n">
        <v>510719.9156486188</v>
      </c>
      <c r="G1285" s="36">
        <f>IF(F1284&gt;0,F1285/F1284-1,"")</f>
        <v/>
      </c>
      <c r="H1285" s="36">
        <f>IF(G1285="","",G1285-$D$12)</f>
        <v/>
      </c>
    </row>
    <row r="1286">
      <c r="B1286" s="34" t="inlineStr">
        <is>
          <t>2026-08-26</t>
        </is>
      </c>
      <c r="C1286" s="35" t="n">
        <v>522454.5798233963</v>
      </c>
      <c r="D1286" s="36">
        <f>IF(C1285&gt;0,C1286/C1285-1,"")</f>
        <v/>
      </c>
      <c r="E1286" s="36">
        <f>IF(D1286="","",D1286-$C$12)</f>
        <v/>
      </c>
      <c r="F1286" s="35" t="n">
        <v>508272.3141299876</v>
      </c>
      <c r="G1286" s="36">
        <f>IF(F1285&gt;0,F1286/F1285-1,"")</f>
        <v/>
      </c>
      <c r="H1286" s="36">
        <f>IF(G1286="","",G1286-$D$12)</f>
        <v/>
      </c>
    </row>
    <row r="1287">
      <c r="B1287" s="34" t="inlineStr">
        <is>
          <t>2026-08-27</t>
        </is>
      </c>
      <c r="C1287" s="35" t="n">
        <v>522082.7501145373</v>
      </c>
      <c r="D1287" s="36">
        <f>IF(C1286&gt;0,C1287/C1286-1,"")</f>
        <v/>
      </c>
      <c r="E1287" s="36">
        <f>IF(D1287="","",D1287-$C$12)</f>
        <v/>
      </c>
      <c r="F1287" s="35" t="n">
        <v>508106.4993938773</v>
      </c>
      <c r="G1287" s="36">
        <f>IF(F1286&gt;0,F1287/F1286-1,"")</f>
        <v/>
      </c>
      <c r="H1287" s="36">
        <f>IF(G1287="","",G1287-$D$12)</f>
        <v/>
      </c>
    </row>
    <row r="1288">
      <c r="B1288" s="34" t="inlineStr">
        <is>
          <t>2026-08-28</t>
        </is>
      </c>
      <c r="C1288" s="35" t="n">
        <v>520547.3993626899</v>
      </c>
      <c r="D1288" s="36">
        <f>IF(C1287&gt;0,C1288/C1287-1,"")</f>
        <v/>
      </c>
      <c r="E1288" s="36">
        <f>IF(D1288="","",D1288-$C$12)</f>
        <v/>
      </c>
      <c r="F1288" s="35" t="n">
        <v>507026.8192744854</v>
      </c>
      <c r="G1288" s="36">
        <f>IF(F1287&gt;0,F1288/F1287-1,"")</f>
        <v/>
      </c>
      <c r="H1288" s="36">
        <f>IF(G1288="","",G1288-$D$12)</f>
        <v/>
      </c>
    </row>
    <row r="1289">
      <c r="B1289" s="34" t="inlineStr">
        <is>
          <t>2026-08-31</t>
        </is>
      </c>
      <c r="C1289" s="35" t="n">
        <v>522144.6399827249</v>
      </c>
      <c r="D1289" s="36">
        <f>IF(C1288&gt;0,C1289/C1288-1,"")</f>
        <v/>
      </c>
      <c r="E1289" s="36">
        <f>IF(D1289="","",D1289-$C$12)</f>
        <v/>
      </c>
      <c r="F1289" s="35" t="n">
        <v>508265.0623791426</v>
      </c>
      <c r="G1289" s="36">
        <f>IF(F1288&gt;0,F1289/F1288-1,"")</f>
        <v/>
      </c>
      <c r="H1289" s="36">
        <f>IF(G1289="","",G1289-$D$12)</f>
        <v/>
      </c>
    </row>
    <row r="1290">
      <c r="B1290" s="34" t="inlineStr">
        <is>
          <t>2026-09-01</t>
        </is>
      </c>
      <c r="C1290" s="35" t="n">
        <v>519232.44023098</v>
      </c>
      <c r="D1290" s="36">
        <f>IF(C1289&gt;0,C1290/C1289-1,"")</f>
        <v/>
      </c>
      <c r="E1290" s="36">
        <f>IF(D1290="","",D1290-$C$12)</f>
        <v/>
      </c>
      <c r="F1290" s="35" t="n">
        <v>505637.6553009907</v>
      </c>
      <c r="G1290" s="36">
        <f>IF(F1289&gt;0,F1290/F1289-1,"")</f>
        <v/>
      </c>
      <c r="H1290" s="36">
        <f>IF(G1290="","",G1290-$D$12)</f>
        <v/>
      </c>
    </row>
    <row r="1291">
      <c r="B1291" s="34" t="inlineStr">
        <is>
          <t>2026-09-02</t>
        </is>
      </c>
      <c r="C1291" s="35" t="n">
        <v>519450.5180869877</v>
      </c>
      <c r="D1291" s="36">
        <f>IF(C1290&gt;0,C1291/C1290-1,"")</f>
        <v/>
      </c>
      <c r="E1291" s="36">
        <f>IF(D1291="","",D1291-$C$12)</f>
        <v/>
      </c>
      <c r="F1291" s="35" t="n">
        <v>505598.7867439352</v>
      </c>
      <c r="G1291" s="36">
        <f>IF(F1290&gt;0,F1291/F1290-1,"")</f>
        <v/>
      </c>
      <c r="H1291" s="36">
        <f>IF(G1291="","",G1291-$D$12)</f>
        <v/>
      </c>
    </row>
    <row r="1292">
      <c r="B1292" s="34" t="inlineStr">
        <is>
          <t>2026-09-03</t>
        </is>
      </c>
      <c r="C1292" s="35" t="n">
        <v>523201.9844382969</v>
      </c>
      <c r="D1292" s="36">
        <f>IF(C1291&gt;0,C1292/C1291-1,"")</f>
        <v/>
      </c>
      <c r="E1292" s="36">
        <f>IF(D1292="","",D1292-$C$12)</f>
        <v/>
      </c>
      <c r="F1292" s="35" t="n">
        <v>508239.1835666986</v>
      </c>
      <c r="G1292" s="36">
        <f>IF(F1291&gt;0,F1292/F1291-1,"")</f>
        <v/>
      </c>
      <c r="H1292" s="36">
        <f>IF(G1292="","",G1292-$D$12)</f>
        <v/>
      </c>
    </row>
    <row r="1293">
      <c r="B1293" s="34" t="inlineStr">
        <is>
          <t>2026-09-04</t>
        </is>
      </c>
      <c r="C1293" s="35" t="n">
        <v>523148.9557415979</v>
      </c>
      <c r="D1293" s="36">
        <f>IF(C1292&gt;0,C1293/C1292-1,"")</f>
        <v/>
      </c>
      <c r="E1293" s="36">
        <f>IF(D1293="","",D1293-$C$12)</f>
        <v/>
      </c>
      <c r="F1293" s="35" t="n">
        <v>508074.7018203001</v>
      </c>
      <c r="G1293" s="36">
        <f>IF(F1292&gt;0,F1293/F1292-1,"")</f>
        <v/>
      </c>
      <c r="H1293" s="36">
        <f>IF(G1293="","",G1293-$D$12)</f>
        <v/>
      </c>
    </row>
    <row r="1294">
      <c r="B1294" s="34" t="inlineStr">
        <is>
          <t>2026-09-07</t>
        </is>
      </c>
      <c r="C1294" s="35" t="n">
        <v>521564.0251995152</v>
      </c>
      <c r="D1294" s="36">
        <f>IF(C1293&gt;0,C1294/C1293-1,"")</f>
        <v/>
      </c>
      <c r="E1294" s="36">
        <f>IF(D1294="","",D1294-$C$12)</f>
        <v/>
      </c>
      <c r="F1294" s="35" t="n">
        <v>507108.0720174552</v>
      </c>
      <c r="G1294" s="36">
        <f>IF(F1293&gt;0,F1294/F1293-1,"")</f>
        <v/>
      </c>
      <c r="H1294" s="36">
        <f>IF(G1294="","",G1294-$D$12)</f>
        <v/>
      </c>
    </row>
    <row r="1295">
      <c r="B1295" s="34" t="inlineStr">
        <is>
          <t>2026-09-08</t>
        </is>
      </c>
      <c r="C1295" s="35" t="n">
        <v>518518.7302563971</v>
      </c>
      <c r="D1295" s="36">
        <f>IF(C1294&gt;0,C1295/C1294-1,"")</f>
        <v/>
      </c>
      <c r="E1295" s="36">
        <f>IF(D1295="","",D1295-$C$12)</f>
        <v/>
      </c>
      <c r="F1295" s="35" t="n">
        <v>504919.4082494835</v>
      </c>
      <c r="G1295" s="36">
        <f>IF(F1294&gt;0,F1295/F1294-1,"")</f>
        <v/>
      </c>
      <c r="H1295" s="36">
        <f>IF(G1295="","",G1295-$D$12)</f>
        <v/>
      </c>
    </row>
    <row r="1296">
      <c r="B1296" s="34" t="inlineStr">
        <is>
          <t>2026-09-09</t>
        </is>
      </c>
      <c r="C1296" s="35" t="n">
        <v>513753.4892731117</v>
      </c>
      <c r="D1296" s="36">
        <f>IF(C1295&gt;0,C1296/C1295-1,"")</f>
        <v/>
      </c>
      <c r="E1296" s="36">
        <f>IF(D1296="","",D1296-$C$12)</f>
        <v/>
      </c>
      <c r="F1296" s="35" t="n">
        <v>501769.7574745823</v>
      </c>
      <c r="G1296" s="36">
        <f>IF(F1295&gt;0,F1296/F1295-1,"")</f>
        <v/>
      </c>
      <c r="H1296" s="36">
        <f>IF(G1296="","",G1296-$D$12)</f>
        <v/>
      </c>
    </row>
    <row r="1297">
      <c r="B1297" s="34" t="inlineStr">
        <is>
          <t>2026-09-10</t>
        </is>
      </c>
      <c r="C1297" s="35" t="n">
        <v>514193.5015749436</v>
      </c>
      <c r="D1297" s="36">
        <f>IF(C1296&gt;0,C1297/C1296-1,"")</f>
        <v/>
      </c>
      <c r="E1297" s="36">
        <f>IF(D1297="","",D1297-$C$12)</f>
        <v/>
      </c>
      <c r="F1297" s="35" t="n">
        <v>502318.9725255904</v>
      </c>
      <c r="G1297" s="36">
        <f>IF(F1296&gt;0,F1297/F1296-1,"")</f>
        <v/>
      </c>
      <c r="H1297" s="36">
        <f>IF(G1297="","",G1297-$D$12)</f>
        <v/>
      </c>
    </row>
    <row r="1298">
      <c r="B1298" s="34" t="inlineStr">
        <is>
          <t>2026-09-11</t>
        </is>
      </c>
      <c r="C1298" s="35" t="n">
        <v>513686.1856423958</v>
      </c>
      <c r="D1298" s="36">
        <f>IF(C1297&gt;0,C1298/C1297-1,"")</f>
        <v/>
      </c>
      <c r="E1298" s="36">
        <f>IF(D1298="","",D1298-$C$12)</f>
        <v/>
      </c>
      <c r="F1298" s="35" t="n">
        <v>501917.3336312791</v>
      </c>
      <c r="G1298" s="36">
        <f>IF(F1297&gt;0,F1298/F1297-1,"")</f>
        <v/>
      </c>
      <c r="H1298" s="36">
        <f>IF(G1298="","",G1298-$D$12)</f>
        <v/>
      </c>
    </row>
    <row r="1299">
      <c r="B1299" s="34" t="inlineStr">
        <is>
          <t>2026-09-14</t>
        </is>
      </c>
      <c r="C1299" s="35" t="n">
        <v>518941.7139504912</v>
      </c>
      <c r="D1299" s="36">
        <f>IF(C1298&gt;0,C1299/C1298-1,"")</f>
        <v/>
      </c>
      <c r="E1299" s="36">
        <f>IF(D1299="","",D1299-$C$12)</f>
        <v/>
      </c>
      <c r="F1299" s="35" t="n">
        <v>506273.0869595883</v>
      </c>
      <c r="G1299" s="36">
        <f>IF(F1298&gt;0,F1299/F1298-1,"")</f>
        <v/>
      </c>
      <c r="H1299" s="36">
        <f>IF(G1299="","",G1299-$D$12)</f>
        <v/>
      </c>
    </row>
    <row r="1300">
      <c r="B1300" s="34" t="inlineStr">
        <is>
          <t>2026-09-15</t>
        </is>
      </c>
      <c r="C1300" s="35" t="n">
        <v>517417.3016876146</v>
      </c>
      <c r="D1300" s="36">
        <f>IF(C1299&gt;0,C1300/C1299-1,"")</f>
        <v/>
      </c>
      <c r="E1300" s="36">
        <f>IF(D1300="","",D1300-$C$12)</f>
        <v/>
      </c>
      <c r="F1300" s="35" t="n">
        <v>505705.3576677845</v>
      </c>
      <c r="G1300" s="36">
        <f>IF(F1299&gt;0,F1300/F1299-1,"")</f>
        <v/>
      </c>
      <c r="H1300" s="36">
        <f>IF(G1300="","",G1300-$D$12)</f>
        <v/>
      </c>
    </row>
    <row r="1301">
      <c r="B1301" s="34" t="inlineStr">
        <is>
          <t>2026-09-16</t>
        </is>
      </c>
      <c r="C1301" s="35" t="n">
        <v>518888.2261906565</v>
      </c>
      <c r="D1301" s="36">
        <f>IF(C1300&gt;0,C1301/C1300-1,"")</f>
        <v/>
      </c>
      <c r="E1301" s="36">
        <f>IF(D1301="","",D1301-$C$12)</f>
        <v/>
      </c>
      <c r="F1301" s="35" t="n">
        <v>507079.2070667401</v>
      </c>
      <c r="G1301" s="36">
        <f>IF(F1300&gt;0,F1301/F1300-1,"")</f>
        <v/>
      </c>
      <c r="H1301" s="36">
        <f>IF(G1301="","",G1301-$D$12)</f>
        <v/>
      </c>
    </row>
    <row r="1302">
      <c r="B1302" s="34" t="inlineStr">
        <is>
          <t>2026-09-17</t>
        </is>
      </c>
      <c r="C1302" s="35" t="n">
        <v>519940.436950338</v>
      </c>
      <c r="D1302" s="36">
        <f>IF(C1301&gt;0,C1302/C1301-1,"")</f>
        <v/>
      </c>
      <c r="E1302" s="36">
        <f>IF(D1302="","",D1302-$C$12)</f>
        <v/>
      </c>
      <c r="F1302" s="35" t="n">
        <v>508255.7929447908</v>
      </c>
      <c r="G1302" s="36">
        <f>IF(F1301&gt;0,F1302/F1301-1,"")</f>
        <v/>
      </c>
      <c r="H1302" s="36">
        <f>IF(G1302="","",G1302-$D$12)</f>
        <v/>
      </c>
    </row>
    <row r="1303">
      <c r="B1303" s="34" t="inlineStr">
        <is>
          <t>2026-09-18</t>
        </is>
      </c>
      <c r="C1303" s="35" t="n">
        <v>516008.9451816228</v>
      </c>
      <c r="D1303" s="36">
        <f>IF(C1302&gt;0,C1303/C1302-1,"")</f>
        <v/>
      </c>
      <c r="E1303" s="36">
        <f>IF(D1303="","",D1303-$C$12)</f>
        <v/>
      </c>
      <c r="F1303" s="35" t="n">
        <v>505433.6316037904</v>
      </c>
      <c r="G1303" s="36">
        <f>IF(F1302&gt;0,F1303/F1302-1,"")</f>
        <v/>
      </c>
      <c r="H1303" s="36">
        <f>IF(G1303="","",G1303-$D$12)</f>
        <v/>
      </c>
    </row>
    <row r="1304">
      <c r="B1304" s="34" t="inlineStr">
        <is>
          <t>2026-09-21</t>
        </is>
      </c>
      <c r="C1304" s="35" t="n">
        <v>518734.0050168558</v>
      </c>
      <c r="D1304" s="36">
        <f>IF(C1303&gt;0,C1304/C1303-1,"")</f>
        <v/>
      </c>
      <c r="E1304" s="36">
        <f>IF(D1304="","",D1304-$C$12)</f>
        <v/>
      </c>
      <c r="F1304" s="35" t="n">
        <v>508153.334805312</v>
      </c>
      <c r="G1304" s="36">
        <f>IF(F1303&gt;0,F1304/F1303-1,"")</f>
        <v/>
      </c>
      <c r="H1304" s="36">
        <f>IF(G1304="","",G1304-$D$12)</f>
        <v/>
      </c>
    </row>
    <row r="1305">
      <c r="B1305" s="34" t="inlineStr">
        <is>
          <t>2026-09-22</t>
        </is>
      </c>
      <c r="C1305" s="35" t="n">
        <v>520535.0731677192</v>
      </c>
      <c r="D1305" s="36">
        <f>IF(C1304&gt;0,C1305/C1304-1,"")</f>
        <v/>
      </c>
      <c r="E1305" s="36">
        <f>IF(D1305="","",D1305-$C$12)</f>
        <v/>
      </c>
      <c r="F1305" s="35" t="n">
        <v>510378.6891775775</v>
      </c>
      <c r="G1305" s="36">
        <f>IF(F1304&gt;0,F1305/F1304-1,"")</f>
        <v/>
      </c>
      <c r="H1305" s="36">
        <f>IF(G1305="","",G1305-$D$12)</f>
        <v/>
      </c>
    </row>
    <row r="1306">
      <c r="B1306" s="34" t="inlineStr">
        <is>
          <t>2026-09-23</t>
        </is>
      </c>
      <c r="C1306" s="35" t="n">
        <v>517217.5575118528</v>
      </c>
      <c r="D1306" s="36">
        <f>IF(C1305&gt;0,C1306/C1305-1,"")</f>
        <v/>
      </c>
      <c r="E1306" s="36">
        <f>IF(D1306="","",D1306-$C$12)</f>
        <v/>
      </c>
      <c r="F1306" s="35" t="n">
        <v>507983.7268899947</v>
      </c>
      <c r="G1306" s="36">
        <f>IF(F1305&gt;0,F1306/F1305-1,"")</f>
        <v/>
      </c>
      <c r="H1306" s="36">
        <f>IF(G1306="","",G1306-$D$12)</f>
        <v/>
      </c>
    </row>
    <row r="1307">
      <c r="B1307" s="34" t="inlineStr">
        <is>
          <t>2026-09-24</t>
        </is>
      </c>
      <c r="C1307" s="35" t="n">
        <v>517127.6746728634</v>
      </c>
      <c r="D1307" s="36">
        <f>IF(C1306&gt;0,C1307/C1306-1,"")</f>
        <v/>
      </c>
      <c r="E1307" s="36">
        <f>IF(D1307="","",D1307-$C$12)</f>
        <v/>
      </c>
      <c r="F1307" s="35" t="n">
        <v>507629.0259363923</v>
      </c>
      <c r="G1307" s="36">
        <f>IF(F1306&gt;0,F1307/F1306-1,"")</f>
        <v/>
      </c>
      <c r="H1307" s="36">
        <f>IF(G1307="","",G1307-$D$12)</f>
        <v/>
      </c>
    </row>
  </sheetData>
  <autoFilter ref="B15:H1307"/>
  <mergeCells count="2">
    <mergeCell ref="B3:H3"/>
    <mergeCell ref="B2:H2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C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95" customWidth="1" min="3" max="3"/>
  </cols>
  <sheetData>
    <row r="2" ht="30" customHeight="1">
      <c r="B2" s="14" t="inlineStr">
        <is>
          <t>Methodik, Datenqualität und Entscheidungsgrenzen</t>
        </is>
      </c>
    </row>
    <row r="5" ht="55" customHeight="1">
      <c r="B5" s="37" t="inlineStr">
        <is>
          <t>Zweck</t>
        </is>
      </c>
      <c r="C5" s="38" t="inlineStr">
        <is>
          <t>Einmalige, rein lesende Entscheidungsunterlage für das Demoportfolio «Mami». Sie dokumentiert eine vorsichtige Zielallokation, die 50% der berechneten Max.-Sharpe-Optimierung mit 50% der bestehenden Aktienallokation mischt.</t>
        </is>
      </c>
    </row>
    <row r="6" ht="55" customHeight="1">
      <c r="B6" s="37" t="inlineStr">
        <is>
          <t>Risikofundament</t>
        </is>
      </c>
      <c r="C6" s="38" t="inlineStr">
        <is>
          <t>1292 gemeinsame qualifizierte Handelstage ab 27.09.2021. Historische EODHD-Schlusskurse werden in CHF umgerechnet; Cash bleibt konstant. Das ist ein historischer Allokationsproxy, keine tatsächliche Depotentwicklung vor Portfolio-Start am 08.09.2026.</t>
        </is>
      </c>
    </row>
    <row r="7" ht="55" customHeight="1">
      <c r="B7" s="37" t="inlineStr">
        <is>
          <t>Sharpe-Definition</t>
        </is>
      </c>
      <c r="C7" s="38" t="inlineStr">
        <is>
          <t>Tägliche einfache Renditen; risikofreier Jahreszins 2.00%; 252 Handelstage. Sharpe = (Durchschnitt der täglichen Renditen minus 2%/252) / Standardabweichung der täglichen Renditen × √252. Das Blatt «Sharpe Herleitung» enthält alle 1292 Tageswerte und Excel-Formeln.</t>
        </is>
      </c>
    </row>
    <row r="8" ht="55" customHeight="1">
      <c r="B8" s="37" t="inlineStr">
        <is>
          <t>KGV / PEG / Dividenden / Beta</t>
        </is>
      </c>
      <c r="C8" s="38" t="inlineStr">
        <is>
          <t>Gewichtete Kennzahlen ausschließlich über verfügbare, lokal gespeicherte EODHD-Werte. Fehlende Werte werden nicht als 0 geschätzt. PEG-Abdeckung ist rund 60% und deshalb ausdrücklich nur ein Teilindikator.</t>
        </is>
      </c>
    </row>
    <row r="9" ht="55" customHeight="1">
      <c r="B9" s="37" t="inlineStr">
        <is>
          <t>Datenqualitäts-Guard</t>
        </is>
      </c>
      <c r="C9" s="38" t="inlineStr">
        <is>
          <t>Neue bzw. erhöhte Kandidaten mit Datenstatus «data_gap» wurden nicht verwendet. Bestehende Positionen mit Datenlücke werden nicht stillschweigend umbewertet; DBS wird nicht aufgestockt.</t>
        </is>
      </c>
    </row>
    <row r="10" ht="55" customHeight="1">
      <c r="B10" s="37" t="inlineStr">
        <is>
          <t>Nicht ausgeführt</t>
        </is>
      </c>
      <c r="C10" s="38" t="inlineStr">
        <is>
          <t>Keine Position, Cashreserve, Transaktion, Ledgerbuchung, Preisreihe oder Handelsaktion wurde durch diese Analyse geändert. Die Zielgewichte sind keine Börsenorder und können nur nach einer separaten Bestätigung umgesetzt werden.</t>
        </is>
      </c>
    </row>
    <row r="11" ht="55" customHeight="1">
      <c r="B11" s="37" t="inlineStr">
        <is>
          <t>Risiken</t>
        </is>
      </c>
      <c r="C11" s="38" t="inlineStr">
        <is>
          <t>Historische Ergebnisse sind keine Prognose. Der Vorschlag senkt beobachtete historische Schwankung und Drawdown im Proxy, kann aber zukünftige Verluste nicht verhindern. Fremdwährungen, Gebühren, Steuern, Liquidität und Ausführungsfriktionen sind nicht modelliert.</t>
        </is>
      </c>
    </row>
  </sheetData>
  <mergeCells count="1">
    <mergeCell ref="B2:C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2026-09-26T08:12:49Z</dcterms:created>
  <dcterms:modified xmlns:dcterms="http://purl.org/dc/terms/" xmlns:xsi="http://www.w3.org/2001/XMLSchema-instance" xsi:type="dcterms:W3CDTF">2026-09-26T08:12:50Z</dcterms:modified>
</cp:coreProperties>
</file>